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ogelheating.sharepoint.com/sites/vogel/IM/dev/Projects/BEEQ/Price Books/"/>
    </mc:Choice>
  </mc:AlternateContent>
  <xr:revisionPtr revIDLastSave="1425" documentId="8_{1FF7D9C6-D3DC-4BC3-B7DC-6002DA8D8E06}" xr6:coauthVersionLast="47" xr6:coauthVersionMax="47" xr10:uidLastSave="{2A0917E5-D94D-499C-B52B-D798432CFE70}"/>
  <bookViews>
    <workbookView xWindow="-110" yWindow="-110" windowWidth="19420" windowHeight="10420" xr2:uid="{81F6C781-78C5-4FA3-B3D0-0CFADBA39D0F}"/>
  </bookViews>
  <sheets>
    <sheet name="INFO" sheetId="8" r:id="rId1"/>
    <sheet name="BASE" sheetId="5" r:id="rId2"/>
    <sheet name="GOOD" sheetId="1" r:id="rId3"/>
    <sheet name="BETTER" sheetId="3" r:id="rId4"/>
    <sheet name="BEST" sheetId="2" r:id="rId5"/>
    <sheet name="ADMIN" sheetId="7" state="hidden" r:id="rId6"/>
  </sheets>
  <functionGroups builtInGroupCount="19"/>
  <definedNames>
    <definedName name="ExternalData_1" localSheetId="0" hidden="1">INFO!#REF!</definedName>
    <definedName name="PKeyPath">ADMIN!$A$1</definedName>
    <definedName name="PKeyPathOld">ADMIN!$A$2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3" i="1"/>
  <c r="I14" i="1"/>
  <c r="I15" i="1"/>
  <c r="G6" i="1"/>
  <c r="AK6" i="1" s="1"/>
  <c r="K6" i="1"/>
  <c r="AN6" i="1" s="1"/>
  <c r="M6" i="1"/>
  <c r="O6" i="1"/>
  <c r="AP6" i="1" s="1"/>
  <c r="Q6" i="1"/>
  <c r="AQ6" i="1" s="1"/>
  <c r="S6" i="1"/>
  <c r="AR6" i="1" s="1"/>
  <c r="S45" i="1"/>
  <c r="AR45" i="1" s="1"/>
  <c r="S44" i="1"/>
  <c r="AR44" i="1" s="1"/>
  <c r="S43" i="1"/>
  <c r="AR43" i="1" s="1"/>
  <c r="S39" i="1"/>
  <c r="AR39" i="1" s="1"/>
  <c r="S38" i="1"/>
  <c r="AR38" i="1" s="1"/>
  <c r="S37" i="1"/>
  <c r="AR37" i="1" s="1"/>
  <c r="S36" i="1"/>
  <c r="AR36" i="1" s="1"/>
  <c r="S32" i="1"/>
  <c r="AR32" i="1" s="1"/>
  <c r="S31" i="1"/>
  <c r="S30" i="1"/>
  <c r="AR30" i="1" s="1"/>
  <c r="S29" i="1"/>
  <c r="AR29" i="1" s="1"/>
  <c r="S25" i="1"/>
  <c r="AR25" i="1" s="1"/>
  <c r="S24" i="1"/>
  <c r="AR24" i="1" s="1"/>
  <c r="S23" i="1"/>
  <c r="AR23" i="1" s="1"/>
  <c r="S22" i="1"/>
  <c r="AR22" i="1" s="1"/>
  <c r="S18" i="1"/>
  <c r="AR18" i="1" s="1"/>
  <c r="S17" i="1"/>
  <c r="S16" i="1"/>
  <c r="AR16" i="1" s="1"/>
  <c r="Q45" i="1"/>
  <c r="Q44" i="1"/>
  <c r="AQ44" i="1" s="1"/>
  <c r="Q43" i="1"/>
  <c r="AQ43" i="1" s="1"/>
  <c r="Q39" i="1"/>
  <c r="AQ39" i="1" s="1"/>
  <c r="Q38" i="1"/>
  <c r="AQ38" i="1" s="1"/>
  <c r="Q37" i="1"/>
  <c r="AQ37" i="1" s="1"/>
  <c r="Q36" i="1"/>
  <c r="AQ36" i="1" s="1"/>
  <c r="Q32" i="1"/>
  <c r="AQ32" i="1" s="1"/>
  <c r="Q31" i="1"/>
  <c r="AQ31" i="1" s="1"/>
  <c r="Q30" i="1"/>
  <c r="AQ30" i="1" s="1"/>
  <c r="Q29" i="1"/>
  <c r="AQ29" i="1" s="1"/>
  <c r="Q25" i="1"/>
  <c r="Q24" i="1"/>
  <c r="AQ24" i="1" s="1"/>
  <c r="Q23" i="1"/>
  <c r="AQ23" i="1" s="1"/>
  <c r="Q22" i="1"/>
  <c r="Q18" i="1"/>
  <c r="AQ18" i="1" s="1"/>
  <c r="Q17" i="1"/>
  <c r="AQ17" i="1" s="1"/>
  <c r="Q16" i="1"/>
  <c r="AQ16" i="1" s="1"/>
  <c r="S9" i="1"/>
  <c r="AR9" i="1" s="1"/>
  <c r="Q9" i="1"/>
  <c r="AQ9" i="1" s="1"/>
  <c r="O9" i="1"/>
  <c r="AP9" i="1" s="1"/>
  <c r="M9" i="1"/>
  <c r="AO9" i="1" s="1"/>
  <c r="K9" i="1"/>
  <c r="AN9" i="1" s="1"/>
  <c r="O45" i="5"/>
  <c r="AP45" i="5" s="1"/>
  <c r="O44" i="5"/>
  <c r="AP44" i="5" s="1"/>
  <c r="O43" i="5"/>
  <c r="O39" i="5"/>
  <c r="AP39" i="5" s="1"/>
  <c r="O38" i="5"/>
  <c r="AP38" i="5" s="1"/>
  <c r="O37" i="5"/>
  <c r="O36" i="5"/>
  <c r="M45" i="5"/>
  <c r="AO45" i="5" s="1"/>
  <c r="M44" i="5"/>
  <c r="M43" i="5"/>
  <c r="M39" i="5"/>
  <c r="M38" i="5"/>
  <c r="AO38" i="5" s="1"/>
  <c r="M37" i="5"/>
  <c r="AO37" i="5" s="1"/>
  <c r="M36" i="5"/>
  <c r="AO36" i="5" s="1"/>
  <c r="K45" i="5"/>
  <c r="K44" i="5"/>
  <c r="AN44" i="5" s="1"/>
  <c r="K43" i="5"/>
  <c r="K39" i="5"/>
  <c r="K38" i="5"/>
  <c r="K37" i="5"/>
  <c r="K36" i="5"/>
  <c r="AN36" i="5" s="1"/>
  <c r="K32" i="5"/>
  <c r="K31" i="5"/>
  <c r="M32" i="5"/>
  <c r="AO32" i="5" s="1"/>
  <c r="M31" i="5"/>
  <c r="O32" i="5"/>
  <c r="O31" i="5"/>
  <c r="S45" i="5"/>
  <c r="AR45" i="5" s="1"/>
  <c r="S44" i="5"/>
  <c r="S43" i="5"/>
  <c r="AR43" i="5" s="1"/>
  <c r="S39" i="5"/>
  <c r="S38" i="5"/>
  <c r="AR38" i="5" s="1"/>
  <c r="S37" i="5"/>
  <c r="S36" i="5"/>
  <c r="Q45" i="5"/>
  <c r="Q44" i="5"/>
  <c r="AQ44" i="5" s="1"/>
  <c r="Q43" i="5"/>
  <c r="AQ43" i="5" s="1"/>
  <c r="Q39" i="5"/>
  <c r="AQ39" i="5" s="1"/>
  <c r="Q38" i="5"/>
  <c r="Q37" i="5"/>
  <c r="AQ37" i="5" s="1"/>
  <c r="Q36" i="5"/>
  <c r="Q32" i="5"/>
  <c r="AQ32" i="5" s="1"/>
  <c r="Q31" i="5"/>
  <c r="Q30" i="5"/>
  <c r="AQ30" i="5" s="1"/>
  <c r="Q29" i="5"/>
  <c r="S32" i="5"/>
  <c r="S31" i="5"/>
  <c r="S30" i="5"/>
  <c r="AR30" i="5" s="1"/>
  <c r="S29" i="5"/>
  <c r="S25" i="5"/>
  <c r="AR25" i="5" s="1"/>
  <c r="S24" i="5"/>
  <c r="S23" i="5"/>
  <c r="S22" i="5"/>
  <c r="AR22" i="5" s="1"/>
  <c r="Q25" i="5"/>
  <c r="Q24" i="5"/>
  <c r="Q23" i="5"/>
  <c r="AQ23" i="5" s="1"/>
  <c r="Q22" i="5"/>
  <c r="S9" i="5"/>
  <c r="Q9" i="5"/>
  <c r="K46" i="3"/>
  <c r="AM46" i="3" s="1"/>
  <c r="K45" i="3"/>
  <c r="AM45" i="3" s="1"/>
  <c r="K44" i="3"/>
  <c r="AM44" i="3" s="1"/>
  <c r="M46" i="3"/>
  <c r="AN46" i="3" s="1"/>
  <c r="M45" i="3"/>
  <c r="AN45" i="3" s="1"/>
  <c r="M44" i="3"/>
  <c r="AN44" i="3" s="1"/>
  <c r="M40" i="3"/>
  <c r="AN40" i="3" s="1"/>
  <c r="M39" i="3"/>
  <c r="AN39" i="3" s="1"/>
  <c r="M38" i="3"/>
  <c r="AN38" i="3" s="1"/>
  <c r="K40" i="3"/>
  <c r="AM40" i="3" s="1"/>
  <c r="K39" i="3"/>
  <c r="AM39" i="3" s="1"/>
  <c r="K38" i="3"/>
  <c r="AM38" i="3" s="1"/>
  <c r="I40" i="3"/>
  <c r="AL40" i="3" s="1"/>
  <c r="I39" i="3"/>
  <c r="AL39" i="3" s="1"/>
  <c r="I38" i="3"/>
  <c r="AL38" i="3" s="1"/>
  <c r="I33" i="3"/>
  <c r="AL33" i="3" s="1"/>
  <c r="I32" i="3"/>
  <c r="AL32" i="3" s="1"/>
  <c r="K33" i="3"/>
  <c r="AM33" i="3" s="1"/>
  <c r="K32" i="3"/>
  <c r="M33" i="3"/>
  <c r="AN33" i="3" s="1"/>
  <c r="M32" i="3"/>
  <c r="AN32" i="3" s="1"/>
  <c r="I9" i="3"/>
  <c r="AL9" i="3" s="1"/>
  <c r="K9" i="3"/>
  <c r="AM9" i="3" s="1"/>
  <c r="M9" i="3"/>
  <c r="AN9" i="3" s="1"/>
  <c r="Q46" i="3"/>
  <c r="AP46" i="3" s="1"/>
  <c r="Q45" i="3"/>
  <c r="AP45" i="3" s="1"/>
  <c r="Q44" i="3"/>
  <c r="AP44" i="3" s="1"/>
  <c r="O46" i="3"/>
  <c r="AO46" i="3" s="1"/>
  <c r="O45" i="3"/>
  <c r="AO45" i="3" s="1"/>
  <c r="O44" i="3"/>
  <c r="AO44" i="3" s="1"/>
  <c r="Q40" i="3"/>
  <c r="Q39" i="3"/>
  <c r="AP39" i="3" s="1"/>
  <c r="Q38" i="3"/>
  <c r="Q37" i="3"/>
  <c r="AP37" i="3" s="1"/>
  <c r="O40" i="3"/>
  <c r="AO40" i="3" s="1"/>
  <c r="O39" i="3"/>
  <c r="AO39" i="3" s="1"/>
  <c r="O38" i="3"/>
  <c r="AO38" i="3" s="1"/>
  <c r="O37" i="3"/>
  <c r="AO37" i="3" s="1"/>
  <c r="Q33" i="3"/>
  <c r="Q32" i="3"/>
  <c r="AP32" i="3" s="1"/>
  <c r="Q31" i="3"/>
  <c r="Q30" i="3"/>
  <c r="AP30" i="3" s="1"/>
  <c r="O33" i="3"/>
  <c r="AO33" i="3" s="1"/>
  <c r="O32" i="3"/>
  <c r="AO32" i="3" s="1"/>
  <c r="O31" i="3"/>
  <c r="AO31" i="3" s="1"/>
  <c r="O30" i="3"/>
  <c r="AO30" i="3" s="1"/>
  <c r="Q26" i="3"/>
  <c r="AP26" i="3" s="1"/>
  <c r="Q25" i="3"/>
  <c r="AP25" i="3" s="1"/>
  <c r="Q24" i="3"/>
  <c r="Q23" i="3"/>
  <c r="AP23" i="3" s="1"/>
  <c r="Q22" i="3"/>
  <c r="AP22" i="3" s="1"/>
  <c r="O26" i="3"/>
  <c r="AO26" i="3" s="1"/>
  <c r="O25" i="3"/>
  <c r="AO25" i="3" s="1"/>
  <c r="O24" i="3"/>
  <c r="AO24" i="3" s="1"/>
  <c r="O23" i="3"/>
  <c r="AO23" i="3" s="1"/>
  <c r="O22" i="3"/>
  <c r="AO22" i="3" s="1"/>
  <c r="Q18" i="3"/>
  <c r="AP18" i="3" s="1"/>
  <c r="Q17" i="3"/>
  <c r="AP17" i="3" s="1"/>
  <c r="Q16" i="3"/>
  <c r="AP16" i="3" s="1"/>
  <c r="O18" i="3"/>
  <c r="AO18" i="3" s="1"/>
  <c r="O17" i="3"/>
  <c r="AO17" i="3" s="1"/>
  <c r="O16" i="3"/>
  <c r="AO16" i="3" s="1"/>
  <c r="O9" i="3"/>
  <c r="AO9" i="3" s="1"/>
  <c r="Q9" i="3"/>
  <c r="AP9" i="3" s="1"/>
  <c r="S9" i="2"/>
  <c r="AR9" i="2" s="1"/>
  <c r="S45" i="2"/>
  <c r="AR45" i="2" s="1"/>
  <c r="S44" i="2"/>
  <c r="AR44" i="2" s="1"/>
  <c r="S43" i="2"/>
  <c r="S39" i="2"/>
  <c r="AR39" i="2" s="1"/>
  <c r="S38" i="2"/>
  <c r="S37" i="2"/>
  <c r="AR37" i="2" s="1"/>
  <c r="S36" i="2"/>
  <c r="AR36" i="2" s="1"/>
  <c r="S32" i="2"/>
  <c r="AR32" i="2" s="1"/>
  <c r="S31" i="2"/>
  <c r="AR31" i="2" s="1"/>
  <c r="S30" i="2"/>
  <c r="S29" i="2"/>
  <c r="AR29" i="2" s="1"/>
  <c r="S25" i="2"/>
  <c r="S24" i="2"/>
  <c r="AR24" i="2" s="1"/>
  <c r="S23" i="2"/>
  <c r="AR23" i="2" s="1"/>
  <c r="S22" i="2"/>
  <c r="AR22" i="2" s="1"/>
  <c r="S18" i="2"/>
  <c r="AR18" i="2" s="1"/>
  <c r="S17" i="2"/>
  <c r="AR17" i="2" s="1"/>
  <c r="S16" i="2"/>
  <c r="AR1" i="5"/>
  <c r="AQ1" i="5"/>
  <c r="AP1" i="5"/>
  <c r="AO1" i="5"/>
  <c r="AN1" i="5"/>
  <c r="AR1" i="1"/>
  <c r="AQ1" i="1"/>
  <c r="AP1" i="1"/>
  <c r="AO1" i="1"/>
  <c r="AN1" i="1"/>
  <c r="AP1" i="3"/>
  <c r="AO1" i="3"/>
  <c r="AN1" i="3"/>
  <c r="AM1" i="3"/>
  <c r="AL1" i="3"/>
  <c r="AQ21" i="2"/>
  <c r="AQ28" i="2"/>
  <c r="AQ35" i="2"/>
  <c r="AQ42" i="2"/>
  <c r="AR42" i="2"/>
  <c r="AR35" i="2"/>
  <c r="AR28" i="2"/>
  <c r="AR21" i="2"/>
  <c r="AN5" i="2"/>
  <c r="AO5" i="2"/>
  <c r="AP5" i="2"/>
  <c r="AQ5" i="2"/>
  <c r="AR5" i="2"/>
  <c r="AR1" i="2"/>
  <c r="AQ1" i="2"/>
  <c r="AP1" i="2"/>
  <c r="AO1" i="2"/>
  <c r="AN1" i="2"/>
  <c r="S18" i="5"/>
  <c r="S17" i="5"/>
  <c r="S16" i="5"/>
  <c r="AR17" i="5" s="1"/>
  <c r="AJ42" i="5"/>
  <c r="AJ35" i="5"/>
  <c r="AJ28" i="5"/>
  <c r="AJ21" i="5"/>
  <c r="AJ12" i="5"/>
  <c r="AJ5" i="5"/>
  <c r="AJ42" i="1"/>
  <c r="AJ35" i="1"/>
  <c r="AJ28" i="1"/>
  <c r="AJ21" i="1"/>
  <c r="AJ12" i="1"/>
  <c r="AJ5" i="1"/>
  <c r="AH43" i="3"/>
  <c r="AH36" i="3"/>
  <c r="AH29" i="3"/>
  <c r="AH21" i="3"/>
  <c r="AH12" i="3"/>
  <c r="AH5" i="3"/>
  <c r="AJ12" i="2"/>
  <c r="AJ5" i="2"/>
  <c r="AJ42" i="2"/>
  <c r="AJ35" i="2"/>
  <c r="AJ28" i="2"/>
  <c r="AJ21" i="2"/>
  <c r="Q7" i="5"/>
  <c r="Q18" i="5"/>
  <c r="Q17" i="5"/>
  <c r="AQ18" i="5" s="1"/>
  <c r="Q16" i="5"/>
  <c r="Q45" i="2"/>
  <c r="AQ45" i="2" s="1"/>
  <c r="Q44" i="2"/>
  <c r="AQ44" i="2" s="1"/>
  <c r="Q43" i="2"/>
  <c r="AQ43" i="2" s="1"/>
  <c r="Q39" i="2"/>
  <c r="AQ39" i="2" s="1"/>
  <c r="Q38" i="2"/>
  <c r="AQ38" i="2" s="1"/>
  <c r="Q37" i="2"/>
  <c r="AQ37" i="2" s="1"/>
  <c r="Q36" i="2"/>
  <c r="AQ36" i="2" s="1"/>
  <c r="Q32" i="2"/>
  <c r="Q31" i="2"/>
  <c r="AQ31" i="2" s="1"/>
  <c r="Q30" i="2"/>
  <c r="AQ30" i="2" s="1"/>
  <c r="Q29" i="2"/>
  <c r="AQ29" i="2" s="1"/>
  <c r="Q25" i="2"/>
  <c r="AQ25" i="2" s="1"/>
  <c r="Q24" i="2"/>
  <c r="AQ24" i="2" s="1"/>
  <c r="Q23" i="2"/>
  <c r="AQ23" i="2" s="1"/>
  <c r="Q22" i="2"/>
  <c r="AQ22" i="2" s="1"/>
  <c r="Q9" i="2"/>
  <c r="Q18" i="2"/>
  <c r="AQ18" i="2" s="1"/>
  <c r="Q17" i="2"/>
  <c r="AQ17" i="2" s="1"/>
  <c r="Q16" i="2"/>
  <c r="AQ16" i="2" s="1"/>
  <c r="AM45" i="2"/>
  <c r="AL45" i="2"/>
  <c r="AE45" i="2"/>
  <c r="AD45" i="2"/>
  <c r="AM44" i="2"/>
  <c r="AL44" i="2"/>
  <c r="AE44" i="2"/>
  <c r="AD44" i="2"/>
  <c r="AR43" i="2"/>
  <c r="AM43" i="2"/>
  <c r="AL43" i="2"/>
  <c r="AE43" i="2"/>
  <c r="AD43" i="2"/>
  <c r="AM39" i="2"/>
  <c r="AL39" i="2"/>
  <c r="AE39" i="2"/>
  <c r="AD39" i="2"/>
  <c r="AR38" i="2"/>
  <c r="AM38" i="2"/>
  <c r="AL38" i="2"/>
  <c r="AE38" i="2"/>
  <c r="AD38" i="2"/>
  <c r="AM37" i="2"/>
  <c r="AL37" i="2"/>
  <c r="AE37" i="2"/>
  <c r="AD37" i="2"/>
  <c r="AM36" i="2"/>
  <c r="AL36" i="2"/>
  <c r="AK36" i="2"/>
  <c r="AE36" i="2"/>
  <c r="AD36" i="2"/>
  <c r="AQ32" i="2"/>
  <c r="AM32" i="2"/>
  <c r="AL32" i="2"/>
  <c r="AE32" i="2"/>
  <c r="AD32" i="2"/>
  <c r="AM31" i="2"/>
  <c r="AL31" i="2"/>
  <c r="AE31" i="2"/>
  <c r="AD31" i="2"/>
  <c r="AR30" i="2"/>
  <c r="AM30" i="2"/>
  <c r="AL30" i="2"/>
  <c r="AE30" i="2"/>
  <c r="AD30" i="2"/>
  <c r="AM29" i="2"/>
  <c r="AL29" i="2"/>
  <c r="AE29" i="2"/>
  <c r="AD29" i="2"/>
  <c r="AR25" i="2"/>
  <c r="AM25" i="2"/>
  <c r="AL25" i="2"/>
  <c r="AE25" i="2"/>
  <c r="AD25" i="2"/>
  <c r="AM24" i="2"/>
  <c r="AL24" i="2"/>
  <c r="AE24" i="2"/>
  <c r="AD24" i="2"/>
  <c r="AM23" i="2"/>
  <c r="AL23" i="2"/>
  <c r="AE23" i="2"/>
  <c r="AD23" i="2"/>
  <c r="AM22" i="2"/>
  <c r="AL22" i="2"/>
  <c r="AE22" i="2"/>
  <c r="AD22" i="2"/>
  <c r="AM18" i="2"/>
  <c r="AL18" i="2"/>
  <c r="AE18" i="2"/>
  <c r="AD18" i="2"/>
  <c r="AM17" i="2"/>
  <c r="AL17" i="2"/>
  <c r="AE17" i="2"/>
  <c r="AD17" i="2"/>
  <c r="AR16" i="2"/>
  <c r="AM16" i="2"/>
  <c r="AL16" i="2"/>
  <c r="AE16" i="2"/>
  <c r="AD16" i="2"/>
  <c r="AO15" i="2"/>
  <c r="AM15" i="2"/>
  <c r="AL15" i="2"/>
  <c r="AE15" i="2"/>
  <c r="AD15" i="2"/>
  <c r="AM14" i="2"/>
  <c r="AL14" i="2"/>
  <c r="AE14" i="2"/>
  <c r="AD14" i="2"/>
  <c r="AM13" i="2"/>
  <c r="AL13" i="2"/>
  <c r="AE13" i="2"/>
  <c r="AD13" i="2"/>
  <c r="AQ9" i="2"/>
  <c r="AM9" i="2"/>
  <c r="AL9" i="2"/>
  <c r="AE9" i="2"/>
  <c r="AD9" i="2"/>
  <c r="AM8" i="2"/>
  <c r="AL8" i="2"/>
  <c r="AE8" i="2"/>
  <c r="AD8" i="2"/>
  <c r="AM7" i="2"/>
  <c r="AL7" i="2"/>
  <c r="AE7" i="2"/>
  <c r="AD7" i="2"/>
  <c r="AK46" i="3"/>
  <c r="AJ46" i="3"/>
  <c r="AC46" i="3"/>
  <c r="AB46" i="3"/>
  <c r="AK45" i="3"/>
  <c r="AJ45" i="3"/>
  <c r="AC45" i="3"/>
  <c r="AB45" i="3"/>
  <c r="AK44" i="3"/>
  <c r="AJ44" i="3"/>
  <c r="AC44" i="3"/>
  <c r="AB44" i="3"/>
  <c r="AP40" i="3"/>
  <c r="AK40" i="3"/>
  <c r="AJ40" i="3"/>
  <c r="AC40" i="3"/>
  <c r="AB40" i="3"/>
  <c r="AK39" i="3"/>
  <c r="AJ39" i="3"/>
  <c r="AC39" i="3"/>
  <c r="AB39" i="3"/>
  <c r="AP38" i="3"/>
  <c r="AK38" i="3"/>
  <c r="AJ38" i="3"/>
  <c r="AC38" i="3"/>
  <c r="AB38" i="3"/>
  <c r="AK37" i="3"/>
  <c r="AJ37" i="3"/>
  <c r="AC37" i="3"/>
  <c r="AB37" i="3"/>
  <c r="AP33" i="3"/>
  <c r="AK33" i="3"/>
  <c r="AJ33" i="3"/>
  <c r="AC33" i="3"/>
  <c r="AB33" i="3"/>
  <c r="AM32" i="3"/>
  <c r="AK32" i="3"/>
  <c r="AJ32" i="3"/>
  <c r="AC32" i="3"/>
  <c r="AB32" i="3"/>
  <c r="AP31" i="3"/>
  <c r="AK31" i="3"/>
  <c r="AJ31" i="3"/>
  <c r="AC31" i="3"/>
  <c r="AB31" i="3"/>
  <c r="AK30" i="3"/>
  <c r="AJ30" i="3"/>
  <c r="AC30" i="3"/>
  <c r="AB30" i="3"/>
  <c r="AK26" i="3"/>
  <c r="AJ26" i="3"/>
  <c r="AC26" i="3"/>
  <c r="AB26" i="3"/>
  <c r="AK25" i="3"/>
  <c r="AJ25" i="3"/>
  <c r="AC25" i="3"/>
  <c r="AB25" i="3"/>
  <c r="AP24" i="3"/>
  <c r="AK24" i="3"/>
  <c r="AJ24" i="3"/>
  <c r="AC24" i="3"/>
  <c r="AB24" i="3"/>
  <c r="AK23" i="3"/>
  <c r="AJ23" i="3"/>
  <c r="AC23" i="3"/>
  <c r="AB23" i="3"/>
  <c r="AK22" i="3"/>
  <c r="AJ22" i="3"/>
  <c r="AC22" i="3"/>
  <c r="AB22" i="3"/>
  <c r="AB18" i="3"/>
  <c r="AK18" i="3"/>
  <c r="AJ18" i="3"/>
  <c r="AC18" i="3"/>
  <c r="AK17" i="3"/>
  <c r="AJ17" i="3"/>
  <c r="AC17" i="3"/>
  <c r="AB17" i="3"/>
  <c r="AK16" i="3"/>
  <c r="AJ16" i="3"/>
  <c r="AC16" i="3"/>
  <c r="AB16" i="3"/>
  <c r="AK15" i="3"/>
  <c r="AJ15" i="3"/>
  <c r="AC15" i="3"/>
  <c r="AB15" i="3"/>
  <c r="AK14" i="3"/>
  <c r="AJ14" i="3"/>
  <c r="AC14" i="3"/>
  <c r="AB14" i="3"/>
  <c r="AK13" i="3"/>
  <c r="AJ13" i="3"/>
  <c r="AC13" i="3"/>
  <c r="AB13" i="3"/>
  <c r="AK9" i="3"/>
  <c r="AJ9" i="3"/>
  <c r="AI9" i="3"/>
  <c r="AC9" i="3"/>
  <c r="AB9" i="3"/>
  <c r="AK8" i="3"/>
  <c r="AJ8" i="3"/>
  <c r="AC8" i="3"/>
  <c r="AB8" i="3"/>
  <c r="AK7" i="3"/>
  <c r="AJ7" i="3"/>
  <c r="AC7" i="3"/>
  <c r="AB7" i="3"/>
  <c r="AK6" i="3"/>
  <c r="AJ6" i="3"/>
  <c r="AL21" i="3"/>
  <c r="AB6" i="3"/>
  <c r="AA5" i="3"/>
  <c r="AF42" i="1"/>
  <c r="AC5" i="1"/>
  <c r="AD6" i="1"/>
  <c r="AQ45" i="5"/>
  <c r="AN45" i="5"/>
  <c r="AM45" i="5"/>
  <c r="AL45" i="5"/>
  <c r="AE45" i="5"/>
  <c r="AD45" i="5"/>
  <c r="AR44" i="5"/>
  <c r="AO44" i="5"/>
  <c r="AM44" i="5"/>
  <c r="AL44" i="5"/>
  <c r="AE44" i="5"/>
  <c r="AD44" i="5"/>
  <c r="AP43" i="5"/>
  <c r="AO43" i="5"/>
  <c r="AN43" i="5"/>
  <c r="AM43" i="5"/>
  <c r="AL43" i="5"/>
  <c r="AE43" i="5"/>
  <c r="AD43" i="5"/>
  <c r="AR39" i="5"/>
  <c r="AO39" i="5"/>
  <c r="AN39" i="5"/>
  <c r="AM39" i="5"/>
  <c r="AL39" i="5"/>
  <c r="AE39" i="5"/>
  <c r="AD39" i="5"/>
  <c r="AQ38" i="5"/>
  <c r="AN38" i="5"/>
  <c r="AM38" i="5"/>
  <c r="AL38" i="5"/>
  <c r="AE38" i="5"/>
  <c r="AD38" i="5"/>
  <c r="AR37" i="5"/>
  <c r="AP37" i="5"/>
  <c r="AN37" i="5"/>
  <c r="AM37" i="5"/>
  <c r="AL37" i="5"/>
  <c r="AE37" i="5"/>
  <c r="AD37" i="5"/>
  <c r="AR36" i="5"/>
  <c r="AQ36" i="5"/>
  <c r="AP36" i="5"/>
  <c r="AM36" i="5"/>
  <c r="AL36" i="5"/>
  <c r="AE36" i="5"/>
  <c r="AD36" i="5"/>
  <c r="AR42" i="5"/>
  <c r="AQ42" i="5"/>
  <c r="AP42" i="5"/>
  <c r="AO42" i="5"/>
  <c r="AN42" i="5"/>
  <c r="AK42" i="5"/>
  <c r="AI42" i="5"/>
  <c r="AH42" i="5"/>
  <c r="AG42" i="5"/>
  <c r="AF42" i="5"/>
  <c r="AC42" i="5"/>
  <c r="AR35" i="5"/>
  <c r="AQ35" i="5"/>
  <c r="AP35" i="5"/>
  <c r="AO35" i="5"/>
  <c r="AN35" i="5"/>
  <c r="AK35" i="5"/>
  <c r="AI35" i="5"/>
  <c r="AH35" i="5"/>
  <c r="AG35" i="5"/>
  <c r="AF35" i="5"/>
  <c r="AC35" i="5"/>
  <c r="AR32" i="5"/>
  <c r="AP32" i="5"/>
  <c r="AN32" i="5"/>
  <c r="AM32" i="5"/>
  <c r="AL32" i="5"/>
  <c r="AE32" i="5"/>
  <c r="AD32" i="5"/>
  <c r="AQ25" i="5"/>
  <c r="AM25" i="5"/>
  <c r="AL25" i="5"/>
  <c r="AE25" i="5"/>
  <c r="AD25" i="5"/>
  <c r="AD22" i="5"/>
  <c r="AC21" i="5"/>
  <c r="AD6" i="5"/>
  <c r="AK13" i="5"/>
  <c r="AM6" i="5"/>
  <c r="AL6" i="5"/>
  <c r="AL29" i="3"/>
  <c r="AL5" i="3"/>
  <c r="N2" i="8"/>
  <c r="M2" i="8"/>
  <c r="A2" i="8"/>
  <c r="L2" i="8" s="1"/>
  <c r="AP42" i="2"/>
  <c r="AO42" i="2"/>
  <c r="AN42" i="2"/>
  <c r="AK42" i="2"/>
  <c r="AI42" i="2"/>
  <c r="AH42" i="2"/>
  <c r="AG42" i="2"/>
  <c r="AF42" i="2"/>
  <c r="AC42" i="2"/>
  <c r="AP35" i="2"/>
  <c r="AO35" i="2"/>
  <c r="AN35" i="2"/>
  <c r="AK35" i="2"/>
  <c r="AI35" i="2"/>
  <c r="AH35" i="2"/>
  <c r="AG35" i="2"/>
  <c r="AF35" i="2"/>
  <c r="AC35" i="2"/>
  <c r="AP28" i="2"/>
  <c r="AO28" i="2"/>
  <c r="AN28" i="2"/>
  <c r="AK28" i="2"/>
  <c r="AI28" i="2"/>
  <c r="AH28" i="2"/>
  <c r="AG28" i="2"/>
  <c r="AF28" i="2"/>
  <c r="AC28" i="2"/>
  <c r="AP21" i="2"/>
  <c r="AO21" i="2"/>
  <c r="AN21" i="2"/>
  <c r="AK21" i="2"/>
  <c r="AI21" i="2"/>
  <c r="AH21" i="2"/>
  <c r="AG21" i="2"/>
  <c r="AF21" i="2"/>
  <c r="AC21" i="2"/>
  <c r="AR12" i="2"/>
  <c r="AQ12" i="2"/>
  <c r="AP12" i="2"/>
  <c r="AO12" i="2"/>
  <c r="AN12" i="2"/>
  <c r="AK12" i="2"/>
  <c r="AI12" i="2"/>
  <c r="AH12" i="2"/>
  <c r="AG12" i="2"/>
  <c r="AF12" i="2"/>
  <c r="AC12" i="2"/>
  <c r="AM6" i="2"/>
  <c r="AL6" i="2"/>
  <c r="AE6" i="2"/>
  <c r="AD6" i="2"/>
  <c r="AP43" i="3"/>
  <c r="AO43" i="3"/>
  <c r="AN43" i="3"/>
  <c r="AM43" i="3"/>
  <c r="AL43" i="3"/>
  <c r="AI43" i="3"/>
  <c r="AG43" i="3"/>
  <c r="AF43" i="3"/>
  <c r="AE43" i="3"/>
  <c r="AD43" i="3"/>
  <c r="AA43" i="3"/>
  <c r="AP36" i="3"/>
  <c r="AO36" i="3"/>
  <c r="AN36" i="3"/>
  <c r="AM36" i="3"/>
  <c r="AL36" i="3"/>
  <c r="AI36" i="3"/>
  <c r="AG36" i="3"/>
  <c r="AF36" i="3"/>
  <c r="AE36" i="3"/>
  <c r="AD36" i="3"/>
  <c r="AA36" i="3"/>
  <c r="AP29" i="3"/>
  <c r="AO29" i="3"/>
  <c r="AN29" i="3"/>
  <c r="AM29" i="3"/>
  <c r="AI29" i="3"/>
  <c r="AG29" i="3"/>
  <c r="AF29" i="3"/>
  <c r="AE29" i="3"/>
  <c r="AD29" i="3"/>
  <c r="AA29" i="3"/>
  <c r="AP21" i="3"/>
  <c r="AO21" i="3"/>
  <c r="AN21" i="3"/>
  <c r="AM21" i="3"/>
  <c r="AI21" i="3"/>
  <c r="AG21" i="3"/>
  <c r="AF21" i="3"/>
  <c r="AE21" i="3"/>
  <c r="AD21" i="3"/>
  <c r="AA21" i="3"/>
  <c r="AP12" i="3"/>
  <c r="AO12" i="3"/>
  <c r="AN12" i="3"/>
  <c r="AM12" i="3"/>
  <c r="AL12" i="3"/>
  <c r="AI12" i="3"/>
  <c r="AG12" i="3"/>
  <c r="AF12" i="3"/>
  <c r="AE12" i="3"/>
  <c r="AD12" i="3"/>
  <c r="AA12" i="3"/>
  <c r="AD5" i="3"/>
  <c r="AE5" i="3"/>
  <c r="AF5" i="3"/>
  <c r="AG5" i="3"/>
  <c r="AI5" i="3"/>
  <c r="AM5" i="3"/>
  <c r="AN5" i="3"/>
  <c r="AO5" i="3"/>
  <c r="AP5" i="3"/>
  <c r="AC6" i="3"/>
  <c r="AK5" i="2"/>
  <c r="AI5" i="2"/>
  <c r="AH5" i="2"/>
  <c r="AG5" i="2"/>
  <c r="AF5" i="2"/>
  <c r="AC5" i="2"/>
  <c r="Z2" i="3"/>
  <c r="Y2" i="3"/>
  <c r="AM9" i="1"/>
  <c r="AL9" i="1"/>
  <c r="AE9" i="1"/>
  <c r="AD9" i="1"/>
  <c r="AM8" i="1"/>
  <c r="AL8" i="1"/>
  <c r="AE8" i="1"/>
  <c r="AD8" i="1"/>
  <c r="AM7" i="1"/>
  <c r="AL7" i="1"/>
  <c r="AE7" i="1"/>
  <c r="AD7" i="1"/>
  <c r="AM6" i="1"/>
  <c r="AL6" i="1"/>
  <c r="AE6" i="1"/>
  <c r="AR5" i="1"/>
  <c r="AQ5" i="1"/>
  <c r="AP5" i="1"/>
  <c r="AO5" i="1"/>
  <c r="AN5" i="1"/>
  <c r="AK5" i="1"/>
  <c r="AI5" i="1"/>
  <c r="AG5" i="1"/>
  <c r="AH5" i="1"/>
  <c r="AF5" i="1"/>
  <c r="AR42" i="1"/>
  <c r="AQ42" i="1"/>
  <c r="AP42" i="1"/>
  <c r="AO42" i="1"/>
  <c r="AN42" i="1"/>
  <c r="AK42" i="1"/>
  <c r="AI42" i="1"/>
  <c r="AH42" i="1"/>
  <c r="AG42" i="1"/>
  <c r="AC42" i="1"/>
  <c r="AR35" i="1"/>
  <c r="AQ35" i="1"/>
  <c r="AP35" i="1"/>
  <c r="AO35" i="1"/>
  <c r="AN35" i="1"/>
  <c r="AK35" i="1"/>
  <c r="AI35" i="1"/>
  <c r="AH35" i="1"/>
  <c r="AG35" i="1"/>
  <c r="AF35" i="1"/>
  <c r="AC35" i="1"/>
  <c r="AR28" i="1"/>
  <c r="AQ28" i="1"/>
  <c r="AP28" i="1"/>
  <c r="AO28" i="1"/>
  <c r="AN28" i="1"/>
  <c r="AK28" i="1"/>
  <c r="AI28" i="1"/>
  <c r="AH28" i="1"/>
  <c r="AG28" i="1"/>
  <c r="AF28" i="1"/>
  <c r="AC28" i="1"/>
  <c r="AR21" i="1"/>
  <c r="AQ21" i="1"/>
  <c r="AP21" i="1"/>
  <c r="AO21" i="1"/>
  <c r="AN21" i="1"/>
  <c r="AK21" i="1"/>
  <c r="AI21" i="1"/>
  <c r="AH21" i="1"/>
  <c r="AG21" i="1"/>
  <c r="AF21" i="1"/>
  <c r="AC21" i="1"/>
  <c r="AR12" i="1"/>
  <c r="AQ12" i="1"/>
  <c r="AP12" i="1"/>
  <c r="AO12" i="1"/>
  <c r="AN12" i="1"/>
  <c r="AK12" i="1"/>
  <c r="AI12" i="1"/>
  <c r="AH12" i="1"/>
  <c r="AG12" i="1"/>
  <c r="AF12" i="1"/>
  <c r="AC12" i="1"/>
  <c r="AQ45" i="1"/>
  <c r="AP45" i="1"/>
  <c r="AO45" i="1"/>
  <c r="AN45" i="1"/>
  <c r="AM45" i="1"/>
  <c r="AL45" i="1"/>
  <c r="AE45" i="1"/>
  <c r="AD45" i="1"/>
  <c r="AP44" i="1"/>
  <c r="AO44" i="1"/>
  <c r="AN44" i="1"/>
  <c r="AM44" i="1"/>
  <c r="AL44" i="1"/>
  <c r="AE44" i="1"/>
  <c r="AD44" i="1"/>
  <c r="AP43" i="1"/>
  <c r="AO43" i="1"/>
  <c r="AN43" i="1"/>
  <c r="AM43" i="1"/>
  <c r="AL43" i="1"/>
  <c r="AE43" i="1"/>
  <c r="AD43" i="1"/>
  <c r="AP39" i="1"/>
  <c r="AO39" i="1"/>
  <c r="AN39" i="1"/>
  <c r="AM39" i="1"/>
  <c r="AL39" i="1"/>
  <c r="AE39" i="1"/>
  <c r="AD39" i="1"/>
  <c r="AP38" i="1"/>
  <c r="AO38" i="1"/>
  <c r="AN38" i="1"/>
  <c r="AM38" i="1"/>
  <c r="AL38" i="1"/>
  <c r="AE38" i="1"/>
  <c r="AD38" i="1"/>
  <c r="AP37" i="1"/>
  <c r="AO37" i="1"/>
  <c r="AN37" i="1"/>
  <c r="AM37" i="1"/>
  <c r="AL37" i="1"/>
  <c r="AE37" i="1"/>
  <c r="AD37" i="1"/>
  <c r="AP36" i="1"/>
  <c r="AO36" i="1"/>
  <c r="AN36" i="1"/>
  <c r="AM36" i="1"/>
  <c r="AL36" i="1"/>
  <c r="AE36" i="1"/>
  <c r="AD36" i="1"/>
  <c r="AM32" i="1"/>
  <c r="AL32" i="1"/>
  <c r="AE32" i="1"/>
  <c r="AD32" i="1"/>
  <c r="AR31" i="1"/>
  <c r="AP31" i="1"/>
  <c r="AO31" i="1"/>
  <c r="AN31" i="1"/>
  <c r="AM31" i="1"/>
  <c r="AL31" i="1"/>
  <c r="AE31" i="1"/>
  <c r="AD31" i="1"/>
  <c r="AP30" i="1"/>
  <c r="AO30" i="1"/>
  <c r="AN30" i="1"/>
  <c r="AM30" i="1"/>
  <c r="AL30" i="1"/>
  <c r="AE30" i="1"/>
  <c r="AD30" i="1"/>
  <c r="AP29" i="1"/>
  <c r="AO29" i="1"/>
  <c r="AN29" i="1"/>
  <c r="AM29" i="1"/>
  <c r="AL29" i="1"/>
  <c r="AE29" i="1"/>
  <c r="AD29" i="1"/>
  <c r="AQ25" i="1"/>
  <c r="AP25" i="1"/>
  <c r="AO25" i="1"/>
  <c r="AN25" i="1"/>
  <c r="AM25" i="1"/>
  <c r="AL25" i="1"/>
  <c r="AE25" i="1"/>
  <c r="AD25" i="1"/>
  <c r="AP24" i="1"/>
  <c r="AO24" i="1"/>
  <c r="AN24" i="1"/>
  <c r="AM24" i="1"/>
  <c r="AL24" i="1"/>
  <c r="AE24" i="1"/>
  <c r="AD24" i="1"/>
  <c r="AM23" i="1"/>
  <c r="AL23" i="1"/>
  <c r="AE23" i="1"/>
  <c r="AD23" i="1"/>
  <c r="AD22" i="1"/>
  <c r="AQ22" i="1"/>
  <c r="AM22" i="1"/>
  <c r="AL22" i="1"/>
  <c r="AE22" i="1"/>
  <c r="AM18" i="1"/>
  <c r="AL18" i="1"/>
  <c r="AE18" i="1"/>
  <c r="AD18" i="1"/>
  <c r="AR17" i="1"/>
  <c r="AM17" i="1"/>
  <c r="AL17" i="1"/>
  <c r="AE17" i="1"/>
  <c r="AD17" i="1"/>
  <c r="AM16" i="1"/>
  <c r="AL16" i="1"/>
  <c r="AE16" i="1"/>
  <c r="AD16" i="1"/>
  <c r="AM15" i="1"/>
  <c r="AL15" i="1"/>
  <c r="AE15" i="1"/>
  <c r="AD15" i="1"/>
  <c r="AP14" i="1"/>
  <c r="AO14" i="1"/>
  <c r="AN14" i="1"/>
  <c r="AM14" i="1"/>
  <c r="AL14" i="1"/>
  <c r="AE14" i="1"/>
  <c r="AD14" i="1"/>
  <c r="AP13" i="1"/>
  <c r="AO13" i="1"/>
  <c r="AN13" i="1"/>
  <c r="AM13" i="1"/>
  <c r="AL13" i="1"/>
  <c r="AE13" i="1"/>
  <c r="AD13" i="1"/>
  <c r="AB2" i="2"/>
  <c r="AA2" i="2"/>
  <c r="AB2" i="1"/>
  <c r="AA2" i="1"/>
  <c r="AC28" i="5"/>
  <c r="AC12" i="5"/>
  <c r="AC5" i="5"/>
  <c r="AA2" i="5"/>
  <c r="AB2" i="5"/>
  <c r="AF5" i="5"/>
  <c r="AG5" i="5"/>
  <c r="AH5" i="5"/>
  <c r="AI5" i="5"/>
  <c r="AK5" i="5"/>
  <c r="AN5" i="5"/>
  <c r="AO5" i="5"/>
  <c r="AP5" i="5"/>
  <c r="AQ5" i="5"/>
  <c r="AR5" i="5"/>
  <c r="AE6" i="5"/>
  <c r="AD7" i="5"/>
  <c r="AE7" i="5"/>
  <c r="AL7" i="5"/>
  <c r="AM7" i="5"/>
  <c r="AD8" i="5"/>
  <c r="AE8" i="5"/>
  <c r="AL8" i="5"/>
  <c r="AM8" i="5"/>
  <c r="AD9" i="5"/>
  <c r="AE9" i="5"/>
  <c r="AL9" i="5"/>
  <c r="AM9" i="5"/>
  <c r="AQ9" i="5"/>
  <c r="AR9" i="5"/>
  <c r="AF12" i="5"/>
  <c r="AG12" i="5"/>
  <c r="AH12" i="5"/>
  <c r="AI12" i="5"/>
  <c r="AK12" i="5"/>
  <c r="AN12" i="5"/>
  <c r="AO12" i="5"/>
  <c r="AP12" i="5"/>
  <c r="AQ12" i="5"/>
  <c r="AR12" i="5"/>
  <c r="AD13" i="5"/>
  <c r="AE13" i="5"/>
  <c r="AL13" i="5"/>
  <c r="AM13" i="5"/>
  <c r="AN13" i="5"/>
  <c r="AO13" i="5"/>
  <c r="AP13" i="5"/>
  <c r="AQ13" i="5"/>
  <c r="AR13" i="5"/>
  <c r="AD14" i="5"/>
  <c r="AE14" i="5"/>
  <c r="AL14" i="5"/>
  <c r="AM14" i="5"/>
  <c r="AD15" i="5"/>
  <c r="AE15" i="5"/>
  <c r="AL15" i="5"/>
  <c r="AM15" i="5"/>
  <c r="AD16" i="5"/>
  <c r="AE16" i="5"/>
  <c r="AL16" i="5"/>
  <c r="AM16" i="5"/>
  <c r="AD17" i="5"/>
  <c r="AE17" i="5"/>
  <c r="AL17" i="5"/>
  <c r="AM17" i="5"/>
  <c r="AQ17" i="5"/>
  <c r="AD18" i="5"/>
  <c r="AE18" i="5"/>
  <c r="AL18" i="5"/>
  <c r="AM18" i="5"/>
  <c r="AR18" i="5"/>
  <c r="AF21" i="5"/>
  <c r="AG21" i="5"/>
  <c r="AH21" i="5"/>
  <c r="AI21" i="5"/>
  <c r="AK21" i="5"/>
  <c r="AN21" i="5"/>
  <c r="AO21" i="5"/>
  <c r="AP21" i="5"/>
  <c r="AQ21" i="5"/>
  <c r="AR21" i="5"/>
  <c r="AE22" i="5"/>
  <c r="AL22" i="5"/>
  <c r="AM22" i="5"/>
  <c r="AQ22" i="5"/>
  <c r="AD23" i="5"/>
  <c r="AE23" i="5"/>
  <c r="AL23" i="5"/>
  <c r="AM23" i="5"/>
  <c r="AR23" i="5"/>
  <c r="AD24" i="5"/>
  <c r="AE24" i="5"/>
  <c r="AL24" i="5"/>
  <c r="AM24" i="5"/>
  <c r="AQ24" i="5"/>
  <c r="AR24" i="5"/>
  <c r="AF28" i="5"/>
  <c r="AG28" i="5"/>
  <c r="AH28" i="5"/>
  <c r="AI28" i="5"/>
  <c r="AK28" i="5"/>
  <c r="AN28" i="5"/>
  <c r="AO28" i="5"/>
  <c r="AP28" i="5"/>
  <c r="AQ28" i="5"/>
  <c r="AR28" i="5"/>
  <c r="AD29" i="5"/>
  <c r="AE29" i="5"/>
  <c r="AL29" i="5"/>
  <c r="AM29" i="5"/>
  <c r="AQ29" i="5"/>
  <c r="AR29" i="5"/>
  <c r="AD30" i="5"/>
  <c r="AE30" i="5"/>
  <c r="AL30" i="5"/>
  <c r="AM30" i="5"/>
  <c r="AD31" i="5"/>
  <c r="AE31" i="5"/>
  <c r="AL31" i="5"/>
  <c r="AM31" i="5"/>
  <c r="AN31" i="5"/>
  <c r="AO31" i="5"/>
  <c r="AP31" i="5"/>
  <c r="AQ31" i="5"/>
  <c r="AR31" i="5"/>
  <c r="G6" i="5"/>
  <c r="AK6" i="5" s="1"/>
  <c r="K36" i="1"/>
  <c r="K6" i="2"/>
  <c r="AN6" i="2" s="1"/>
  <c r="G18" i="2"/>
  <c r="AK18" i="2" s="1"/>
  <c r="K18" i="2"/>
  <c r="AN18" i="2" s="1"/>
  <c r="M18" i="2"/>
  <c r="AO18" i="2" s="1"/>
  <c r="O18" i="2"/>
  <c r="AP18" i="2" s="1"/>
  <c r="G24" i="2"/>
  <c r="AK24" i="2" s="1"/>
  <c r="K24" i="2"/>
  <c r="AN24" i="2" s="1"/>
  <c r="M24" i="2"/>
  <c r="AO24" i="2" s="1"/>
  <c r="O24" i="2"/>
  <c r="AP24" i="2" s="1"/>
  <c r="G25" i="2"/>
  <c r="AK25" i="2" s="1"/>
  <c r="K25" i="2"/>
  <c r="AN25" i="2" s="1"/>
  <c r="M25" i="2"/>
  <c r="AO25" i="2" s="1"/>
  <c r="O25" i="2"/>
  <c r="AP25" i="2" s="1"/>
  <c r="G30" i="2"/>
  <c r="AK30" i="2" s="1"/>
  <c r="K30" i="2"/>
  <c r="AN30" i="2" s="1"/>
  <c r="M30" i="2"/>
  <c r="AO30" i="2" s="1"/>
  <c r="O30" i="2"/>
  <c r="AP30" i="2" s="1"/>
  <c r="G31" i="2"/>
  <c r="AK31" i="2" s="1"/>
  <c r="K31" i="2"/>
  <c r="AN31" i="2" s="1"/>
  <c r="M31" i="2"/>
  <c r="AO31" i="2" s="1"/>
  <c r="O31" i="2"/>
  <c r="AP31" i="2" s="1"/>
  <c r="G36" i="2"/>
  <c r="K36" i="2"/>
  <c r="AN36" i="2" s="1"/>
  <c r="M36" i="2"/>
  <c r="AO36" i="2" s="1"/>
  <c r="O36" i="2"/>
  <c r="AP36" i="2" s="1"/>
  <c r="G37" i="2"/>
  <c r="AK37" i="2" s="1"/>
  <c r="K37" i="2"/>
  <c r="AN37" i="2" s="1"/>
  <c r="M37" i="2"/>
  <c r="AO37" i="2" s="1"/>
  <c r="O37" i="2"/>
  <c r="AP37" i="2" s="1"/>
  <c r="O9" i="2"/>
  <c r="AP9" i="2" s="1"/>
  <c r="M9" i="2"/>
  <c r="AO9" i="2" s="1"/>
  <c r="K9" i="2"/>
  <c r="AN9" i="2" s="1"/>
  <c r="G9" i="2"/>
  <c r="AK9" i="2" s="1"/>
  <c r="O16" i="1"/>
  <c r="O17" i="1"/>
  <c r="O18" i="1"/>
  <c r="O22" i="1"/>
  <c r="AP15" i="1" s="1"/>
  <c r="O23" i="1"/>
  <c r="AP16" i="1" s="1"/>
  <c r="O24" i="1"/>
  <c r="AP17" i="1" s="1"/>
  <c r="O25" i="1"/>
  <c r="AP18" i="1" s="1"/>
  <c r="O29" i="1"/>
  <c r="AP22" i="1" s="1"/>
  <c r="O30" i="1"/>
  <c r="AP23" i="1" s="1"/>
  <c r="O31" i="1"/>
  <c r="O32" i="1"/>
  <c r="O36" i="1"/>
  <c r="O37" i="1"/>
  <c r="O38" i="1"/>
  <c r="O39" i="1"/>
  <c r="O43" i="1"/>
  <c r="AP32" i="1" s="1"/>
  <c r="O44" i="1"/>
  <c r="O45" i="1"/>
  <c r="M43" i="1"/>
  <c r="AO32" i="1" s="1"/>
  <c r="M44" i="1"/>
  <c r="M45" i="1"/>
  <c r="M14" i="1"/>
  <c r="M15" i="1"/>
  <c r="M16" i="1"/>
  <c r="M17" i="1"/>
  <c r="M18" i="1"/>
  <c r="M22" i="1"/>
  <c r="AO15" i="1" s="1"/>
  <c r="M23" i="1"/>
  <c r="AO16" i="1" s="1"/>
  <c r="M24" i="1"/>
  <c r="AO17" i="1" s="1"/>
  <c r="M25" i="1"/>
  <c r="AO18" i="1" s="1"/>
  <c r="M29" i="1"/>
  <c r="AO22" i="1" s="1"/>
  <c r="M30" i="1"/>
  <c r="AO23" i="1" s="1"/>
  <c r="M31" i="1"/>
  <c r="M32" i="1"/>
  <c r="M36" i="1"/>
  <c r="M37" i="1"/>
  <c r="M38" i="1"/>
  <c r="M39" i="1"/>
  <c r="M37" i="3"/>
  <c r="AN37" i="3" s="1"/>
  <c r="M16" i="3"/>
  <c r="AN16" i="3" s="1"/>
  <c r="M17" i="3"/>
  <c r="AN17" i="3" s="1"/>
  <c r="M18" i="3"/>
  <c r="AN18" i="3" s="1"/>
  <c r="M22" i="3"/>
  <c r="AN22" i="3" s="1"/>
  <c r="M23" i="3"/>
  <c r="AN23" i="3" s="1"/>
  <c r="M24" i="3"/>
  <c r="AN24" i="3" s="1"/>
  <c r="M25" i="3"/>
  <c r="AN25" i="3" s="1"/>
  <c r="M26" i="3"/>
  <c r="AN26" i="3" s="1"/>
  <c r="M30" i="3"/>
  <c r="AN30" i="3" s="1"/>
  <c r="M31" i="3"/>
  <c r="AN31" i="3" s="1"/>
  <c r="K37" i="3"/>
  <c r="AM37" i="3" s="1"/>
  <c r="K14" i="3"/>
  <c r="AM14" i="3" s="1"/>
  <c r="K15" i="3"/>
  <c r="AM15" i="3" s="1"/>
  <c r="K16" i="3"/>
  <c r="AM16" i="3" s="1"/>
  <c r="K17" i="3"/>
  <c r="AM17" i="3" s="1"/>
  <c r="K18" i="3"/>
  <c r="AM18" i="3" s="1"/>
  <c r="K22" i="3"/>
  <c r="AM22" i="3" s="1"/>
  <c r="K23" i="3"/>
  <c r="AM23" i="3" s="1"/>
  <c r="K24" i="3"/>
  <c r="AM24" i="3" s="1"/>
  <c r="K25" i="3"/>
  <c r="AM25" i="3" s="1"/>
  <c r="K26" i="3"/>
  <c r="AM26" i="3" s="1"/>
  <c r="K30" i="3"/>
  <c r="AM30" i="3" s="1"/>
  <c r="K31" i="3"/>
  <c r="AM31" i="3" s="1"/>
  <c r="O16" i="2"/>
  <c r="AP16" i="2" s="1"/>
  <c r="O17" i="2"/>
  <c r="AP17" i="2" s="1"/>
  <c r="O22" i="2"/>
  <c r="AP22" i="2" s="1"/>
  <c r="O23" i="2"/>
  <c r="AP23" i="2" s="1"/>
  <c r="O29" i="2"/>
  <c r="AP29" i="2" s="1"/>
  <c r="O32" i="2"/>
  <c r="AP32" i="2" s="1"/>
  <c r="O38" i="2"/>
  <c r="AP38" i="2" s="1"/>
  <c r="O39" i="2"/>
  <c r="AP39" i="2" s="1"/>
  <c r="O43" i="2"/>
  <c r="AP43" i="2" s="1"/>
  <c r="O44" i="2"/>
  <c r="AP44" i="2" s="1"/>
  <c r="O45" i="2"/>
  <c r="AP45" i="2" s="1"/>
  <c r="M14" i="2"/>
  <c r="AO14" i="2" s="1"/>
  <c r="M15" i="2"/>
  <c r="M16" i="2"/>
  <c r="AO16" i="2" s="1"/>
  <c r="M17" i="2"/>
  <c r="AO17" i="2" s="1"/>
  <c r="M22" i="2"/>
  <c r="AO22" i="2" s="1"/>
  <c r="M23" i="2"/>
  <c r="AO23" i="2" s="1"/>
  <c r="M29" i="2"/>
  <c r="AO29" i="2" s="1"/>
  <c r="M32" i="2"/>
  <c r="AO32" i="2" s="1"/>
  <c r="M38" i="2"/>
  <c r="AO38" i="2" s="1"/>
  <c r="M39" i="2"/>
  <c r="AO39" i="2" s="1"/>
  <c r="M43" i="2"/>
  <c r="AO43" i="2" s="1"/>
  <c r="M44" i="2"/>
  <c r="AO44" i="2" s="1"/>
  <c r="M45" i="2"/>
  <c r="AO45" i="2" s="1"/>
  <c r="K16" i="2"/>
  <c r="AN16" i="2" s="1"/>
  <c r="K17" i="2"/>
  <c r="AN17" i="2" s="1"/>
  <c r="K22" i="2"/>
  <c r="AN22" i="2" s="1"/>
  <c r="K23" i="2"/>
  <c r="AN23" i="2" s="1"/>
  <c r="K29" i="2"/>
  <c r="AN29" i="2" s="1"/>
  <c r="K32" i="2"/>
  <c r="AN32" i="2" s="1"/>
  <c r="K38" i="2"/>
  <c r="AN38" i="2" s="1"/>
  <c r="K39" i="2"/>
  <c r="AN39" i="2" s="1"/>
  <c r="K43" i="2"/>
  <c r="AN43" i="2" s="1"/>
  <c r="K44" i="2"/>
  <c r="AN44" i="2" s="1"/>
  <c r="K45" i="2"/>
  <c r="AN45" i="2" s="1"/>
  <c r="I46" i="3"/>
  <c r="AL46" i="3" s="1"/>
  <c r="I45" i="3"/>
  <c r="AL45" i="3" s="1"/>
  <c r="I44" i="3"/>
  <c r="AL44" i="3" s="1"/>
  <c r="I37" i="3"/>
  <c r="AL37" i="3" s="1"/>
  <c r="I16" i="3"/>
  <c r="AL16" i="3" s="1"/>
  <c r="I17" i="3"/>
  <c r="AL17" i="3" s="1"/>
  <c r="I18" i="3"/>
  <c r="AL18" i="3" s="1"/>
  <c r="I22" i="3"/>
  <c r="AL22" i="3" s="1"/>
  <c r="I23" i="3"/>
  <c r="AL23" i="3" s="1"/>
  <c r="I24" i="3"/>
  <c r="AL24" i="3" s="1"/>
  <c r="I25" i="3"/>
  <c r="AL25" i="3" s="1"/>
  <c r="I26" i="3"/>
  <c r="AL26" i="3" s="1"/>
  <c r="I30" i="3"/>
  <c r="AL30" i="3" s="1"/>
  <c r="I31" i="3"/>
  <c r="AL31" i="3" s="1"/>
  <c r="G32" i="3"/>
  <c r="AI32" i="3" s="1"/>
  <c r="G31" i="1"/>
  <c r="AK31" i="1" s="1"/>
  <c r="K16" i="1"/>
  <c r="K17" i="1"/>
  <c r="K18" i="1"/>
  <c r="K22" i="1"/>
  <c r="AN15" i="1" s="1"/>
  <c r="K23" i="1"/>
  <c r="AN16" i="1" s="1"/>
  <c r="K24" i="1"/>
  <c r="AN17" i="1" s="1"/>
  <c r="K25" i="1"/>
  <c r="AN18" i="1" s="1"/>
  <c r="K29" i="1"/>
  <c r="AN22" i="1" s="1"/>
  <c r="K30" i="1"/>
  <c r="AN23" i="1" s="1"/>
  <c r="K32" i="1"/>
  <c r="K37" i="1"/>
  <c r="K38" i="1"/>
  <c r="K39" i="1"/>
  <c r="K43" i="1"/>
  <c r="AN32" i="1" s="1"/>
  <c r="K44" i="1"/>
  <c r="K45" i="1"/>
  <c r="K9" i="5"/>
  <c r="AN9" i="5" s="1"/>
  <c r="M9" i="5"/>
  <c r="AO9" i="5" s="1"/>
  <c r="O9" i="5"/>
  <c r="AP9" i="5" s="1"/>
  <c r="O30" i="5"/>
  <c r="AP30" i="5" s="1"/>
  <c r="O29" i="5"/>
  <c r="AP29" i="5" s="1"/>
  <c r="O25" i="5"/>
  <c r="AP25" i="5" s="1"/>
  <c r="O24" i="5"/>
  <c r="AP24" i="5" s="1"/>
  <c r="O23" i="5"/>
  <c r="AP23" i="5" s="1"/>
  <c r="O22" i="5"/>
  <c r="AP22" i="5" s="1"/>
  <c r="O18" i="5"/>
  <c r="O17" i="5"/>
  <c r="AP18" i="5" s="1"/>
  <c r="O16" i="5"/>
  <c r="AP17" i="5" s="1"/>
  <c r="M30" i="5"/>
  <c r="AO30" i="5" s="1"/>
  <c r="M29" i="5"/>
  <c r="AO29" i="5" s="1"/>
  <c r="M25" i="5"/>
  <c r="AO25" i="5" s="1"/>
  <c r="M24" i="5"/>
  <c r="AO24" i="5" s="1"/>
  <c r="M23" i="5"/>
  <c r="AO23" i="5" s="1"/>
  <c r="M22" i="5"/>
  <c r="AO22" i="5" s="1"/>
  <c r="M18" i="5"/>
  <c r="M17" i="5"/>
  <c r="AO18" i="5" s="1"/>
  <c r="M16" i="5"/>
  <c r="AO17" i="5" s="1"/>
  <c r="M15" i="5"/>
  <c r="AO16" i="5" s="1"/>
  <c r="M14" i="5"/>
  <c r="AO15" i="5" s="1"/>
  <c r="K30" i="5"/>
  <c r="AN30" i="5" s="1"/>
  <c r="K29" i="5"/>
  <c r="AN29" i="5" s="1"/>
  <c r="K25" i="5"/>
  <c r="AN25" i="5" s="1"/>
  <c r="K24" i="5"/>
  <c r="AN24" i="5" s="1"/>
  <c r="K23" i="5"/>
  <c r="AN23" i="5" s="1"/>
  <c r="K22" i="5"/>
  <c r="AN22" i="5" s="1"/>
  <c r="K16" i="5"/>
  <c r="AN17" i="5" s="1"/>
  <c r="K17" i="5"/>
  <c r="AN18" i="5" s="1"/>
  <c r="K18" i="5"/>
  <c r="G31" i="5"/>
  <c r="AK31" i="5" s="1"/>
  <c r="G9" i="1"/>
  <c r="AK9" i="1" s="1"/>
  <c r="G9" i="5"/>
  <c r="AK9" i="5" s="1"/>
  <c r="I25" i="5"/>
  <c r="I24" i="5"/>
  <c r="I23" i="5"/>
  <c r="I22" i="5"/>
  <c r="I18" i="5"/>
  <c r="I17" i="5"/>
  <c r="I16" i="5"/>
  <c r="G45" i="5"/>
  <c r="AK45" i="5" s="1"/>
  <c r="G44" i="5"/>
  <c r="AK44" i="5" s="1"/>
  <c r="G43" i="5"/>
  <c r="AK43" i="5" s="1"/>
  <c r="G39" i="5"/>
  <c r="AK39" i="5" s="1"/>
  <c r="G38" i="5"/>
  <c r="AK38" i="5" s="1"/>
  <c r="G37" i="5"/>
  <c r="AK37" i="5" s="1"/>
  <c r="G36" i="5"/>
  <c r="AK36" i="5" s="1"/>
  <c r="G32" i="5"/>
  <c r="AK32" i="5" s="1"/>
  <c r="G30" i="5"/>
  <c r="AK30" i="5" s="1"/>
  <c r="G29" i="5"/>
  <c r="AK29" i="5" s="1"/>
  <c r="G25" i="5"/>
  <c r="AK25" i="5" s="1"/>
  <c r="G24" i="5"/>
  <c r="AK24" i="5" s="1"/>
  <c r="G23" i="5"/>
  <c r="AK23" i="5" s="1"/>
  <c r="G22" i="5"/>
  <c r="AK22" i="5" s="1"/>
  <c r="G18" i="5"/>
  <c r="G17" i="5"/>
  <c r="AK18" i="5" s="1"/>
  <c r="G16" i="5"/>
  <c r="AK17" i="5" s="1"/>
  <c r="S15" i="5"/>
  <c r="AR16" i="5" s="1"/>
  <c r="Q15" i="5"/>
  <c r="AQ16" i="5" s="1"/>
  <c r="O15" i="5"/>
  <c r="AP16" i="5" s="1"/>
  <c r="K15" i="5"/>
  <c r="AN16" i="5" s="1"/>
  <c r="I15" i="5"/>
  <c r="G15" i="5"/>
  <c r="AK16" i="5" s="1"/>
  <c r="S14" i="5"/>
  <c r="AR15" i="5" s="1"/>
  <c r="Q14" i="5"/>
  <c r="AQ15" i="5" s="1"/>
  <c r="O14" i="5"/>
  <c r="AP15" i="5" s="1"/>
  <c r="K14" i="5"/>
  <c r="AN15" i="5" s="1"/>
  <c r="I14" i="5"/>
  <c r="G14" i="5"/>
  <c r="AK15" i="5" s="1"/>
  <c r="S13" i="5"/>
  <c r="AR14" i="5" s="1"/>
  <c r="Q13" i="5"/>
  <c r="AQ14" i="5" s="1"/>
  <c r="O13" i="5"/>
  <c r="AP14" i="5" s="1"/>
  <c r="M13" i="5"/>
  <c r="AO14" i="5" s="1"/>
  <c r="K13" i="5"/>
  <c r="AN14" i="5" s="1"/>
  <c r="I13" i="5"/>
  <c r="G13" i="5"/>
  <c r="AK14" i="5" s="1"/>
  <c r="I9" i="5"/>
  <c r="S8" i="5"/>
  <c r="AR8" i="5" s="1"/>
  <c r="Q8" i="5"/>
  <c r="AQ8" i="5" s="1"/>
  <c r="O8" i="5"/>
  <c r="AP8" i="5" s="1"/>
  <c r="M8" i="5"/>
  <c r="AO8" i="5" s="1"/>
  <c r="K8" i="5"/>
  <c r="AN8" i="5" s="1"/>
  <c r="I8" i="5"/>
  <c r="G8" i="5"/>
  <c r="AK8" i="5" s="1"/>
  <c r="S7" i="5"/>
  <c r="AR7" i="5" s="1"/>
  <c r="AQ7" i="5"/>
  <c r="O7" i="5"/>
  <c r="AP7" i="5" s="1"/>
  <c r="M7" i="5"/>
  <c r="AO7" i="5" s="1"/>
  <c r="K7" i="5"/>
  <c r="AN7" i="5" s="1"/>
  <c r="I7" i="5"/>
  <c r="G7" i="5"/>
  <c r="AK7" i="5" s="1"/>
  <c r="S6" i="5"/>
  <c r="AR6" i="5" s="1"/>
  <c r="Q6" i="5"/>
  <c r="AQ6" i="5" s="1"/>
  <c r="O6" i="5"/>
  <c r="AP6" i="5" s="1"/>
  <c r="M6" i="5"/>
  <c r="AO6" i="5" s="1"/>
  <c r="K6" i="5"/>
  <c r="AN6" i="5" s="1"/>
  <c r="I6" i="5"/>
  <c r="G22" i="2"/>
  <c r="AK22" i="2" s="1"/>
  <c r="G22" i="1"/>
  <c r="AK22" i="1" s="1"/>
  <c r="G26" i="3"/>
  <c r="AI26" i="3" s="1"/>
  <c r="G22" i="3"/>
  <c r="AI22" i="3" s="1"/>
  <c r="G46" i="3"/>
  <c r="AI46" i="3" s="1"/>
  <c r="G45" i="3"/>
  <c r="AI45" i="3" s="1"/>
  <c r="G44" i="3"/>
  <c r="AI44" i="3" s="1"/>
  <c r="G40" i="3"/>
  <c r="AI40" i="3" s="1"/>
  <c r="G39" i="3"/>
  <c r="AI39" i="3" s="1"/>
  <c r="G38" i="3"/>
  <c r="AI38" i="3" s="1"/>
  <c r="G37" i="3"/>
  <c r="AI37" i="3" s="1"/>
  <c r="G33" i="3"/>
  <c r="AI33" i="3" s="1"/>
  <c r="G31" i="3"/>
  <c r="AI31" i="3" s="1"/>
  <c r="G30" i="3"/>
  <c r="AI30" i="3" s="1"/>
  <c r="G25" i="3"/>
  <c r="AI25" i="3" s="1"/>
  <c r="G24" i="3"/>
  <c r="AI24" i="3" s="1"/>
  <c r="G23" i="3"/>
  <c r="AI23" i="3" s="1"/>
  <c r="G18" i="3"/>
  <c r="AI18" i="3" s="1"/>
  <c r="G17" i="3"/>
  <c r="AI17" i="3" s="1"/>
  <c r="G16" i="3"/>
  <c r="AI16" i="3" s="1"/>
  <c r="Q15" i="3"/>
  <c r="AP15" i="3" s="1"/>
  <c r="O15" i="3"/>
  <c r="AO15" i="3" s="1"/>
  <c r="M15" i="3"/>
  <c r="AN15" i="3" s="1"/>
  <c r="I15" i="3"/>
  <c r="AL15" i="3" s="1"/>
  <c r="G15" i="3"/>
  <c r="AI15" i="3" s="1"/>
  <c r="Q14" i="3"/>
  <c r="AP14" i="3" s="1"/>
  <c r="O14" i="3"/>
  <c r="AO14" i="3" s="1"/>
  <c r="M14" i="3"/>
  <c r="AN14" i="3" s="1"/>
  <c r="I14" i="3"/>
  <c r="AL14" i="3" s="1"/>
  <c r="G14" i="3"/>
  <c r="AI14" i="3" s="1"/>
  <c r="Q13" i="3"/>
  <c r="AP13" i="3" s="1"/>
  <c r="O13" i="3"/>
  <c r="AO13" i="3" s="1"/>
  <c r="M13" i="3"/>
  <c r="AN13" i="3" s="1"/>
  <c r="K13" i="3"/>
  <c r="AM13" i="3" s="1"/>
  <c r="I13" i="3"/>
  <c r="AL13" i="3" s="1"/>
  <c r="G13" i="3"/>
  <c r="AI13" i="3" s="1"/>
  <c r="Q8" i="3"/>
  <c r="AP8" i="3" s="1"/>
  <c r="O8" i="3"/>
  <c r="AO8" i="3" s="1"/>
  <c r="M8" i="3"/>
  <c r="AN8" i="3" s="1"/>
  <c r="K8" i="3"/>
  <c r="AM8" i="3" s="1"/>
  <c r="I8" i="3"/>
  <c r="AL8" i="3" s="1"/>
  <c r="G8" i="3"/>
  <c r="AI8" i="3" s="1"/>
  <c r="Q7" i="3"/>
  <c r="AP7" i="3" s="1"/>
  <c r="O7" i="3"/>
  <c r="AO7" i="3" s="1"/>
  <c r="M7" i="3"/>
  <c r="AN7" i="3" s="1"/>
  <c r="K7" i="3"/>
  <c r="AM7" i="3" s="1"/>
  <c r="I7" i="3"/>
  <c r="AL7" i="3" s="1"/>
  <c r="G7" i="3"/>
  <c r="AI7" i="3" s="1"/>
  <c r="Q6" i="3"/>
  <c r="AP6" i="3" s="1"/>
  <c r="O6" i="3"/>
  <c r="AO6" i="3" s="1"/>
  <c r="M6" i="3"/>
  <c r="AN6" i="3" s="1"/>
  <c r="K6" i="3"/>
  <c r="AM6" i="3" s="1"/>
  <c r="I6" i="3"/>
  <c r="AL6" i="3" s="1"/>
  <c r="G6" i="3"/>
  <c r="AI6" i="3" s="1"/>
  <c r="G45" i="2"/>
  <c r="AK45" i="2" s="1"/>
  <c r="G44" i="2"/>
  <c r="AK44" i="2" s="1"/>
  <c r="G43" i="2"/>
  <c r="AK43" i="2" s="1"/>
  <c r="G39" i="2"/>
  <c r="AK39" i="2" s="1"/>
  <c r="G38" i="2"/>
  <c r="AK38" i="2" s="1"/>
  <c r="G32" i="2"/>
  <c r="AK32" i="2" s="1"/>
  <c r="G29" i="2"/>
  <c r="AK29" i="2" s="1"/>
  <c r="G23" i="2"/>
  <c r="AK23" i="2" s="1"/>
  <c r="G17" i="2"/>
  <c r="AK17" i="2" s="1"/>
  <c r="G16" i="2"/>
  <c r="AK16" i="2" s="1"/>
  <c r="S15" i="2"/>
  <c r="AR15" i="2" s="1"/>
  <c r="Q15" i="2"/>
  <c r="AQ15" i="2" s="1"/>
  <c r="O15" i="2"/>
  <c r="AP15" i="2" s="1"/>
  <c r="K15" i="2"/>
  <c r="AN15" i="2" s="1"/>
  <c r="G15" i="2"/>
  <c r="AK15" i="2" s="1"/>
  <c r="S14" i="2"/>
  <c r="AR14" i="2" s="1"/>
  <c r="Q14" i="2"/>
  <c r="AQ14" i="2" s="1"/>
  <c r="O14" i="2"/>
  <c r="AP14" i="2" s="1"/>
  <c r="K14" i="2"/>
  <c r="AN14" i="2" s="1"/>
  <c r="G14" i="2"/>
  <c r="AK14" i="2" s="1"/>
  <c r="S13" i="2"/>
  <c r="AR13" i="2" s="1"/>
  <c r="Q13" i="2"/>
  <c r="AQ13" i="2" s="1"/>
  <c r="O13" i="2"/>
  <c r="AP13" i="2" s="1"/>
  <c r="M13" i="2"/>
  <c r="AO13" i="2" s="1"/>
  <c r="K13" i="2"/>
  <c r="AN13" i="2" s="1"/>
  <c r="G13" i="2"/>
  <c r="AK13" i="2" s="1"/>
  <c r="S8" i="2"/>
  <c r="AR8" i="2" s="1"/>
  <c r="Q8" i="2"/>
  <c r="AQ8" i="2" s="1"/>
  <c r="O8" i="2"/>
  <c r="AP8" i="2" s="1"/>
  <c r="M8" i="2"/>
  <c r="AO8" i="2" s="1"/>
  <c r="K8" i="2"/>
  <c r="AN8" i="2" s="1"/>
  <c r="G8" i="2"/>
  <c r="AK8" i="2" s="1"/>
  <c r="S7" i="2"/>
  <c r="AR7" i="2" s="1"/>
  <c r="Q7" i="2"/>
  <c r="AQ7" i="2" s="1"/>
  <c r="O7" i="2"/>
  <c r="AP7" i="2" s="1"/>
  <c r="M7" i="2"/>
  <c r="AO7" i="2" s="1"/>
  <c r="K7" i="2"/>
  <c r="AN7" i="2" s="1"/>
  <c r="G7" i="2"/>
  <c r="AK7" i="2" s="1"/>
  <c r="S6" i="2"/>
  <c r="AR6" i="2" s="1"/>
  <c r="Q6" i="2"/>
  <c r="AQ6" i="2" s="1"/>
  <c r="O6" i="2"/>
  <c r="AP6" i="2" s="1"/>
  <c r="M6" i="2"/>
  <c r="AO6" i="2" s="1"/>
  <c r="I6" i="2"/>
  <c r="G6" i="2"/>
  <c r="AK6" i="2" s="1"/>
  <c r="G23" i="1"/>
  <c r="AK23" i="1" s="1"/>
  <c r="G24" i="1"/>
  <c r="AK24" i="1" s="1"/>
  <c r="G25" i="1"/>
  <c r="AK25" i="1" s="1"/>
  <c r="G29" i="1"/>
  <c r="AK29" i="1" s="1"/>
  <c r="G30" i="1"/>
  <c r="AK30" i="1" s="1"/>
  <c r="G32" i="1"/>
  <c r="AK32" i="1" s="1"/>
  <c r="G36" i="1"/>
  <c r="AK36" i="1" s="1"/>
  <c r="G37" i="1"/>
  <c r="AK37" i="1" s="1"/>
  <c r="G38" i="1"/>
  <c r="AK38" i="1" s="1"/>
  <c r="G39" i="1"/>
  <c r="AK39" i="1" s="1"/>
  <c r="G43" i="1"/>
  <c r="AK43" i="1" s="1"/>
  <c r="G44" i="1"/>
  <c r="AK44" i="1" s="1"/>
  <c r="G45" i="1"/>
  <c r="AK45" i="1" s="1"/>
  <c r="G7" i="1"/>
  <c r="AK7" i="1" s="1"/>
  <c r="G8" i="1"/>
  <c r="AK8" i="1" s="1"/>
  <c r="G13" i="1"/>
  <c r="AK13" i="1" s="1"/>
  <c r="G14" i="1"/>
  <c r="AK14" i="1" s="1"/>
  <c r="G15" i="1"/>
  <c r="AK15" i="1" s="1"/>
  <c r="G16" i="1"/>
  <c r="AK16" i="1" s="1"/>
  <c r="G17" i="1"/>
  <c r="AK17" i="1" s="1"/>
  <c r="G18" i="1"/>
  <c r="AK18" i="1" s="1"/>
  <c r="O7" i="1"/>
  <c r="AP7" i="1" s="1"/>
  <c r="O8" i="1"/>
  <c r="AP8" i="1" s="1"/>
  <c r="O13" i="1"/>
  <c r="O14" i="1"/>
  <c r="O15" i="1"/>
  <c r="Q7" i="1"/>
  <c r="AQ7" i="1" s="1"/>
  <c r="Q8" i="1"/>
  <c r="AQ8" i="1" s="1"/>
  <c r="Q13" i="1"/>
  <c r="AQ13" i="1" s="1"/>
  <c r="Q14" i="1"/>
  <c r="AQ14" i="1" s="1"/>
  <c r="Q15" i="1"/>
  <c r="AQ15" i="1" s="1"/>
  <c r="S7" i="1"/>
  <c r="AR7" i="1" s="1"/>
  <c r="S8" i="1"/>
  <c r="AR8" i="1" s="1"/>
  <c r="S13" i="1"/>
  <c r="AR13" i="1" s="1"/>
  <c r="S14" i="1"/>
  <c r="AR14" i="1" s="1"/>
  <c r="S15" i="1"/>
  <c r="AR15" i="1" s="1"/>
  <c r="AO6" i="1"/>
  <c r="M7" i="1"/>
  <c r="AO7" i="1" s="1"/>
  <c r="M8" i="1"/>
  <c r="AO8" i="1" s="1"/>
  <c r="M13" i="1"/>
  <c r="K7" i="1"/>
  <c r="AN7" i="1" s="1"/>
  <c r="K8" i="1"/>
  <c r="AN8" i="1" s="1"/>
  <c r="K13" i="1"/>
  <c r="K14" i="1"/>
  <c r="K1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020F57D-AC04-445C-BEEF-D865A4B40556}" keepAlive="1" name="Query - winoptions" description="Connection to the 'winoptions' query in the workbook." type="5" refreshedVersion="0" background="1" saveData="1">
    <dbPr connection="Provider=Microsoft.Mashup.OleDb.1;Data Source=$Workbook$;Location=winoptions;Extended Properties=&quot;&quot;" command="SELECT * FROM [winoptions]"/>
  </connection>
</connections>
</file>

<file path=xl/sharedStrings.xml><?xml version="1.0" encoding="utf-8"?>
<sst xmlns="http://schemas.openxmlformats.org/spreadsheetml/2006/main" count="317" uniqueCount="69">
  <si>
    <t>STYLE</t>
  </si>
  <si>
    <t>BRAND</t>
  </si>
  <si>
    <t>MODEL</t>
  </si>
  <si>
    <t>SIZE</t>
  </si>
  <si>
    <t>PRICE</t>
  </si>
  <si>
    <t>W</t>
  </si>
  <si>
    <t>H</t>
  </si>
  <si>
    <t>TRIM</t>
  </si>
  <si>
    <t>PACKAGE</t>
  </si>
  <si>
    <t>Provia</t>
  </si>
  <si>
    <t>Ecolite</t>
  </si>
  <si>
    <t>DH</t>
  </si>
  <si>
    <t>KEY</t>
  </si>
  <si>
    <t>MIN</t>
  </si>
  <si>
    <t>MAX</t>
  </si>
  <si>
    <t>2LS</t>
  </si>
  <si>
    <t>3LS</t>
  </si>
  <si>
    <t>triple strength</t>
  </si>
  <si>
    <t>PIC</t>
  </si>
  <si>
    <t>CASE</t>
  </si>
  <si>
    <t>TWIN CASE</t>
  </si>
  <si>
    <t>Endure</t>
  </si>
  <si>
    <t>Double Glass</t>
  </si>
  <si>
    <t>Triple Glass</t>
  </si>
  <si>
    <t>Aeris</t>
  </si>
  <si>
    <t>Double Glass / triple strength</t>
  </si>
  <si>
    <t>UNITED INCH $</t>
  </si>
  <si>
    <t>SQ IN $</t>
  </si>
  <si>
    <t>SIMULATED DIVIDED LIGHT</t>
  </si>
  <si>
    <t>INTERNAL GRIDS</t>
  </si>
  <si>
    <t>OBSCURE GLASS</t>
  </si>
  <si>
    <t>TEMPERED GLASS</t>
  </si>
  <si>
    <t>LABOR HOURS GROUND</t>
  </si>
  <si>
    <t>LABOR HOURS ELEVATED</t>
  </si>
  <si>
    <t>brand</t>
  </si>
  <si>
    <t>model</t>
  </si>
  <si>
    <t>width</t>
  </si>
  <si>
    <t>height</t>
  </si>
  <si>
    <t>minw</t>
  </si>
  <si>
    <t>maxw</t>
  </si>
  <si>
    <t>minh</t>
  </si>
  <si>
    <t>maxh</t>
  </si>
  <si>
    <t>lab1</t>
  </si>
  <si>
    <t>lab2</t>
  </si>
  <si>
    <t>style</t>
  </si>
  <si>
    <t>tier</t>
  </si>
  <si>
    <t>BASE</t>
  </si>
  <si>
    <t>vogelheating.com\Vogel - Bldg Env\automated sales pricing tool\keys\old\</t>
  </si>
  <si>
    <t>vogelheating.com\Vogel - Bldg Env\automated sales pricing tool\keys\</t>
  </si>
  <si>
    <t>BEST</t>
  </si>
  <si>
    <t>BETTER</t>
  </si>
  <si>
    <t>GOOD</t>
  </si>
  <si>
    <t>Margin</t>
  </si>
  <si>
    <t>Labor Rate</t>
  </si>
  <si>
    <t>Date</t>
  </si>
  <si>
    <t>date</t>
  </si>
  <si>
    <t>margin</t>
  </si>
  <si>
    <t>labrate</t>
  </si>
  <si>
    <t>Misc Cost</t>
  </si>
  <si>
    <t>extra hours</t>
  </si>
  <si>
    <t>MAX UINCH</t>
  </si>
  <si>
    <t>uinchp</t>
  </si>
  <si>
    <t>maxu</t>
  </si>
  <si>
    <t>INTERNAL BLINDS</t>
  </si>
  <si>
    <t>TRIMS</t>
  </si>
  <si>
    <t>OAK</t>
  </si>
  <si>
    <t>standard</t>
  </si>
  <si>
    <t>PAINTED</t>
  </si>
  <si>
    <t>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</si>
</sst>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1">
    <xf numFmtId="0" fontId="0" fillId="0" borderId="0" xfId="0"/>
    <xf numFmtId="44" fontId="0" fillId="0" borderId="0" xfId="1" applyFont="1"/>
    <xf numFmtId="0" fontId="0" fillId="2" borderId="0" xfId="0" applyFill="1"/>
    <xf numFmtId="44" fontId="0" fillId="3" borderId="1" xfId="1" applyFont="1" applyFill="1" applyBorder="1"/>
    <xf numFmtId="0" fontId="0" fillId="4" borderId="0" xfId="0" applyFill="1"/>
    <xf numFmtId="44" fontId="0" fillId="4" borderId="0" xfId="1" applyFont="1" applyFill="1"/>
    <xf numFmtId="0" fontId="0" fillId="4" borderId="0" xfId="0" applyFill="1" applyAlignment="1">
      <alignment horizont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12" fontId="0" fillId="3" borderId="1" xfId="1" applyNumberFormat="1" applyFont="1" applyFill="1" applyBorder="1"/>
    <xf numFmtId="12" fontId="0" fillId="3" borderId="1" xfId="1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12" fontId="0" fillId="0" borderId="0" xfId="0" applyNumberFormat="1"/>
    <xf numFmtId="44" fontId="0" fillId="0" borderId="0" xfId="0" applyNumberFormat="1"/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9" fontId="0" fillId="0" borderId="0" xfId="2" applyFont="1" applyAlignment="1">
      <alignment horizontal="center"/>
    </xf>
    <xf numFmtId="44" fontId="0" fillId="0" borderId="0" xfId="1" applyFont="1" applyAlignment="1">
      <alignment horizontal="center"/>
    </xf>
    <xf numFmtId="14" fontId="0" fillId="0" borderId="0" xfId="0" applyNumberFormat="1"/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NumberFormat="1" applyAlignment="1">
      <alignment wrapText="1"/>
    </xf>
    <xf numFmtId="0" fontId="0" fillId="3" borderId="1" xfId="1" applyNumberFormat="1" applyFont="1" applyFill="1" applyBorder="1" applyAlignment="1">
      <alignment horizontal="center"/>
    </xf>
    <xf numFmtId="0" fontId="5" fillId="4" borderId="0" xfId="0" applyFont="1" applyFill="1"/>
    <xf numFmtId="0" fontId="5" fillId="4" borderId="0" xfId="0" applyFont="1" applyFill="1" applyAlignment="1">
      <alignment horizontal="center"/>
    </xf>
    <xf numFmtId="44" fontId="5" fillId="4" borderId="0" xfId="1" applyFont="1" applyFill="1"/>
    <xf numFmtId="0" fontId="4" fillId="4" borderId="0" xfId="0" applyFont="1" applyFill="1" applyBorder="1" applyAlignment="1">
      <alignment horizontal="center" vertical="center"/>
    </xf>
    <xf numFmtId="12" fontId="0" fillId="4" borderId="0" xfId="1" applyNumberFormat="1" applyFont="1" applyFill="1" applyBorder="1"/>
    <xf numFmtId="44" fontId="0" fillId="4" borderId="0" xfId="1" applyFont="1" applyFill="1" applyBorder="1"/>
    <xf numFmtId="0" fontId="0" fillId="4" borderId="0" xfId="0" applyFill="1" applyAlignment="1">
      <alignment wrapText="1"/>
    </xf>
    <xf numFmtId="0" fontId="0" fillId="0" borderId="6" xfId="0" applyBorder="1"/>
    <xf numFmtId="0" fontId="0" fillId="0" borderId="7" xfId="0" applyBorder="1"/>
    <xf numFmtId="0" fontId="0" fillId="4" borderId="0" xfId="0" applyFill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44" fontId="2" fillId="5" borderId="2" xfId="1" applyFont="1" applyFill="1" applyBorder="1" applyAlignment="1">
      <alignment horizontal="center" vertical="center" wrapText="1"/>
    </xf>
    <xf numFmtId="44" fontId="2" fillId="5" borderId="4" xfId="1" applyFont="1" applyFill="1" applyBorder="1" applyAlignment="1">
      <alignment horizontal="center" vertical="center" wrapText="1"/>
    </xf>
    <xf numFmtId="44" fontId="2" fillId="5" borderId="3" xfId="1" applyFont="1" applyFill="1" applyBorder="1" applyAlignment="1">
      <alignment horizontal="center" vertical="center" wrapText="1"/>
    </xf>
    <xf numFmtId="44" fontId="0" fillId="5" borderId="2" xfId="1" applyFont="1" applyFill="1" applyBorder="1" applyAlignment="1">
      <alignment horizontal="center" vertical="center"/>
    </xf>
    <xf numFmtId="44" fontId="0" fillId="5" borderId="4" xfId="1" applyFont="1" applyFill="1" applyBorder="1" applyAlignment="1">
      <alignment horizontal="center" vertical="center"/>
    </xf>
    <xf numFmtId="44" fontId="0" fillId="5" borderId="3" xfId="1" applyFont="1" applyFill="1" applyBorder="1" applyAlignment="1">
      <alignment horizontal="center" vertical="center"/>
    </xf>
    <xf numFmtId="44" fontId="0" fillId="5" borderId="2" xfId="1" applyFont="1" applyFill="1" applyBorder="1" applyAlignment="1">
      <alignment horizontal="center" vertical="center" wrapText="1"/>
    </xf>
    <xf numFmtId="44" fontId="0" fillId="5" borderId="4" xfId="1" applyFont="1" applyFill="1" applyBorder="1" applyAlignment="1">
      <alignment horizontal="center" vertical="center" wrapText="1"/>
    </xf>
    <xf numFmtId="44" fontId="0" fillId="5" borderId="3" xfId="1" applyFont="1" applyFill="1" applyBorder="1" applyAlignment="1">
      <alignment horizontal="center" vertical="center" wrapText="1"/>
    </xf>
    <xf numFmtId="44" fontId="3" fillId="5" borderId="2" xfId="1" applyFont="1" applyFill="1" applyBorder="1" applyAlignment="1">
      <alignment horizontal="center" vertical="center" wrapText="1"/>
    </xf>
    <xf numFmtId="44" fontId="3" fillId="5" borderId="4" xfId="1" applyFont="1" applyFill="1" applyBorder="1" applyAlignment="1">
      <alignment horizontal="center" vertical="center" wrapText="1"/>
    </xf>
    <xf numFmtId="44" fontId="3" fillId="5" borderId="3" xfId="1" applyFont="1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wrapText="1"/>
    </xf>
    <xf numFmtId="0" fontId="0" fillId="5" borderId="4" xfId="0" applyFill="1" applyBorder="1" applyAlignment="1">
      <alignment horizontal="center" wrapText="1"/>
    </xf>
    <xf numFmtId="0" fontId="0" fillId="5" borderId="3" xfId="0" applyFill="1" applyBorder="1" applyAlignment="1">
      <alignment horizontal="center" wrapText="1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258799</xdr:colOff>
      <xdr:row>0</xdr:row>
      <xdr:rowOff>0</xdr:rowOff>
    </xdr:from>
    <xdr:to>
      <xdr:col>9</xdr:col>
      <xdr:colOff>145059</xdr:colOff>
      <xdr:row>1</xdr:row>
      <xdr:rowOff>62146</xdr:rowOff>
    </xdr:to>
    <xdr:sp macro="[0]!ThisWorkbook.CreateKey" textlink="">
      <xdr:nvSpPr>
        <xdr:cNvPr id="2" name="TextBox 1">
          <a:extLst>
            <a:ext uri="{FF2B5EF4-FFF2-40B4-BE49-F238E27FC236}">
              <a16:creationId xmlns:a16="http://schemas.microsoft.com/office/drawing/2014/main" id="{9B8771B1-F909-4A60-A95E-D9F37229B0D7}"/>
            </a:ext>
          </a:extLst>
        </xdr:cNvPr>
        <xdr:cNvSpPr txBox="1"/>
      </xdr:nvSpPr>
      <xdr:spPr>
        <a:xfrm>
          <a:off x="5598321" y="0"/>
          <a:ext cx="1101042" cy="2443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Create Key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7A496-A38D-4F69-ADA7-F3AED8BF429D}">
  <sheetPr codeName="Sheet6"/>
  <dimension ref="A1:N10"/>
  <sheetViews>
    <sheetView showGridLines="0" tabSelected="1" zoomScale="115" zoomScaleNormal="115" workbookViewId="0">
      <selection activeCell="C16" sqref="C16"/>
    </sheetView>
  </sheetViews>
  <sheetFormatPr defaultRowHeight="14.5" x14ac:dyDescent="0.35"/>
  <cols>
    <col min="1" max="2" width="14.26953125" style="17" customWidth="1"/>
    <col min="3" max="3" width="9.7265625" style="17" bestFit="1" customWidth="1"/>
    <col min="4" max="4" width="12" style="17" customWidth="1"/>
    <col min="11" max="11" width="8.7265625" customWidth="1"/>
    <col min="12" max="12" width="12" customWidth="1"/>
    <col min="13" max="14" width="8.7265625" customWidth="1"/>
  </cols>
  <sheetData>
    <row r="1" spans="1:14" x14ac:dyDescent="0.35">
      <c r="A1" s="16" t="s">
        <v>54</v>
      </c>
      <c r="B1" s="16"/>
      <c r="C1" s="16" t="s">
        <v>52</v>
      </c>
      <c r="D1" s="16" t="s">
        <v>53</v>
      </c>
      <c r="E1" s="23" t="s">
        <v>58</v>
      </c>
      <c r="K1" t="s">
        <v>12</v>
      </c>
      <c r="L1" t="s">
        <v>55</v>
      </c>
      <c r="M1" t="s">
        <v>56</v>
      </c>
      <c r="N1" t="s">
        <v>57</v>
      </c>
    </row>
    <row r="2" spans="1:14" x14ac:dyDescent="0.35">
      <c r="A2" s="18">
        <f ca="1">NOW()</f>
        <v>44594.480813310183</v>
      </c>
      <c r="B2" s="18"/>
      <c r="C2" s="19">
        <v>0.4</v>
      </c>
      <c r="D2" s="20">
        <v>60</v>
      </c>
      <c r="E2">
        <v>15</v>
      </c>
      <c r="L2" s="21">
        <f ca="1">A2</f>
        <v>44594.480813310183</v>
      </c>
      <c r="M2" s="22">
        <f>C2</f>
        <v>0.4</v>
      </c>
      <c r="N2" s="22">
        <f>D2</f>
        <v>60</v>
      </c>
    </row>
    <row r="5" spans="1:14" x14ac:dyDescent="0.35">
      <c r="C5" s="17" t="s">
        <v>66</v>
      </c>
      <c r="D5" s="17" t="s">
        <v>59</v>
      </c>
    </row>
    <row r="6" spans="1:14" x14ac:dyDescent="0.35">
      <c r="D6" s="17">
        <v>2</v>
      </c>
    </row>
    <row r="8" spans="1:14" x14ac:dyDescent="0.35">
      <c r="A8"/>
      <c r="B8" s="17" t="s">
        <v>64</v>
      </c>
      <c r="E8" s="17"/>
    </row>
    <row r="9" spans="1:14" ht="15" thickBot="1" x14ac:dyDescent="0.4">
      <c r="A9"/>
      <c r="B9" s="17" t="s">
        <v>67</v>
      </c>
      <c r="C9" s="17" t="s">
        <v>65</v>
      </c>
      <c r="D9" s="17" t="s">
        <v>68</v>
      </c>
    </row>
    <row r="10" spans="1:14" x14ac:dyDescent="0.35">
      <c r="A10">
        <v>1</v>
      </c>
      <c r="B10" s="33">
        <v>2.75</v>
      </c>
      <c r="C10" s="34">
        <v>3.5</v>
      </c>
      <c r="D10" s="34">
        <v>5.15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A7573-B6B3-49A7-BABE-8D9F3C10AE9E}">
  <sheetPr codeName="Sheet1"/>
  <dimension ref="A1:AR48"/>
  <sheetViews>
    <sheetView topLeftCell="I1" zoomScaleNormal="100" workbookViewId="0">
      <pane ySplit="4" topLeftCell="A11" activePane="bottomLeft" state="frozen"/>
      <selection pane="bottomLeft" activeCell="P24" sqref="P24"/>
    </sheetView>
  </sheetViews>
  <sheetFormatPr defaultRowHeight="14.5" x14ac:dyDescent="0.35"/>
  <cols>
    <col min="1" max="1" width="10.54296875" customWidth="1"/>
    <col min="6" max="6" width="10" style="1" customWidth="1"/>
    <col min="7" max="7" width="9.7265625" style="1" bestFit="1" customWidth="1"/>
    <col min="8" max="9" width="9.7265625" style="1" customWidth="1"/>
    <col min="10" max="10" width="12.26953125" style="1" customWidth="1"/>
    <col min="11" max="11" width="9.7265625" style="1" customWidth="1"/>
    <col min="12" max="12" width="12" style="1" customWidth="1"/>
    <col min="13" max="13" width="9.7265625" style="1" customWidth="1"/>
    <col min="14" max="14" width="10.81640625" style="1" customWidth="1"/>
    <col min="15" max="15" width="8.7265625" style="1"/>
    <col min="16" max="16" width="11.7265625" style="1" customWidth="1"/>
    <col min="17" max="17" width="8.7265625" style="1"/>
    <col min="18" max="18" width="10" customWidth="1"/>
    <col min="19" max="19" width="8.7265625" style="1"/>
    <col min="20" max="20" width="4.1796875" style="4" customWidth="1"/>
    <col min="21" max="22" width="9.26953125" customWidth="1"/>
    <col min="24" max="26" width="8.7265625" customWidth="1"/>
    <col min="27" max="28" width="9.26953125" customWidth="1"/>
    <col min="29" max="29" width="10.1796875" customWidth="1"/>
    <col min="30" max="39" width="9.26953125" customWidth="1"/>
    <col min="40" max="40" width="20" customWidth="1"/>
    <col min="41" max="41" width="14.26953125" customWidth="1"/>
    <col min="42" max="42" width="14.54296875" customWidth="1"/>
    <col min="43" max="47" width="9.26953125" customWidth="1"/>
  </cols>
  <sheetData>
    <row r="1" spans="1:44" s="13" customFormat="1" ht="21.75" customHeight="1" x14ac:dyDescent="0.35">
      <c r="A1" s="36" t="s">
        <v>0</v>
      </c>
      <c r="B1" s="36" t="s">
        <v>1</v>
      </c>
      <c r="C1" s="36" t="s">
        <v>2</v>
      </c>
      <c r="D1" s="36" t="s">
        <v>3</v>
      </c>
      <c r="E1" s="36" t="s">
        <v>3</v>
      </c>
      <c r="F1" s="43" t="s">
        <v>4</v>
      </c>
      <c r="G1" s="40" t="s">
        <v>26</v>
      </c>
      <c r="H1" s="36" t="s">
        <v>4</v>
      </c>
      <c r="I1" s="40" t="s">
        <v>26</v>
      </c>
      <c r="J1" s="46" t="s">
        <v>31</v>
      </c>
      <c r="K1" s="49" t="s">
        <v>27</v>
      </c>
      <c r="L1" s="46" t="s">
        <v>30</v>
      </c>
      <c r="M1" s="49" t="s">
        <v>27</v>
      </c>
      <c r="N1" s="46" t="s">
        <v>29</v>
      </c>
      <c r="O1" s="49" t="s">
        <v>27</v>
      </c>
      <c r="P1" s="46" t="s">
        <v>28</v>
      </c>
      <c r="Q1" s="49" t="s">
        <v>27</v>
      </c>
      <c r="R1" s="57" t="s">
        <v>63</v>
      </c>
      <c r="S1" s="49" t="s">
        <v>27</v>
      </c>
      <c r="T1" s="32"/>
      <c r="U1" s="52" t="s">
        <v>32</v>
      </c>
      <c r="V1" s="52" t="s">
        <v>33</v>
      </c>
      <c r="Y1" s="13" t="s">
        <v>12</v>
      </c>
      <c r="Z1" t="s">
        <v>45</v>
      </c>
      <c r="AA1" t="s">
        <v>34</v>
      </c>
      <c r="AB1" t="s">
        <v>35</v>
      </c>
      <c r="AC1" t="s">
        <v>44</v>
      </c>
      <c r="AD1" t="s">
        <v>36</v>
      </c>
      <c r="AE1" t="s">
        <v>37</v>
      </c>
      <c r="AF1" t="s">
        <v>38</v>
      </c>
      <c r="AG1" t="s">
        <v>39</v>
      </c>
      <c r="AH1" t="s">
        <v>40</v>
      </c>
      <c r="AI1" t="s">
        <v>41</v>
      </c>
      <c r="AJ1" t="s">
        <v>62</v>
      </c>
      <c r="AK1" t="s">
        <v>61</v>
      </c>
      <c r="AL1" t="s">
        <v>42</v>
      </c>
      <c r="AM1" t="s">
        <v>43</v>
      </c>
      <c r="AN1" s="15" t="str">
        <f>J1</f>
        <v>TEMPERED GLASS</v>
      </c>
      <c r="AO1" s="15" t="str">
        <f>L1</f>
        <v>OBSCURE GLASS</v>
      </c>
      <c r="AP1" s="15" t="str">
        <f>N1</f>
        <v>INTERNAL GRIDS</v>
      </c>
      <c r="AQ1" s="15" t="str">
        <f>P1</f>
        <v>SIMULATED DIVIDED LIGHT</v>
      </c>
      <c r="AR1" s="15" t="str">
        <f>R1</f>
        <v>INTERNAL BLINDS</v>
      </c>
    </row>
    <row r="2" spans="1:44" s="13" customFormat="1" ht="7.15" customHeight="1" x14ac:dyDescent="0.35">
      <c r="A2" s="37"/>
      <c r="B2" s="37"/>
      <c r="C2" s="37"/>
      <c r="D2" s="37"/>
      <c r="E2" s="37"/>
      <c r="F2" s="44"/>
      <c r="G2" s="41"/>
      <c r="H2" s="37"/>
      <c r="I2" s="41"/>
      <c r="J2" s="47"/>
      <c r="K2" s="50"/>
      <c r="L2" s="47"/>
      <c r="M2" s="50"/>
      <c r="N2" s="47"/>
      <c r="O2" s="50"/>
      <c r="P2" s="47"/>
      <c r="Q2" s="50"/>
      <c r="R2" s="58"/>
      <c r="S2" s="50"/>
      <c r="T2" s="32"/>
      <c r="U2" s="53"/>
      <c r="V2" s="53"/>
      <c r="Z2" s="13" t="s">
        <v>46</v>
      </c>
      <c r="AA2" s="13" t="str">
        <f>B6</f>
        <v>Provia</v>
      </c>
      <c r="AB2" s="13" t="str">
        <f>C6</f>
        <v>Ecolite</v>
      </c>
    </row>
    <row r="3" spans="1:44" s="13" customFormat="1" ht="13.5" customHeight="1" x14ac:dyDescent="0.35">
      <c r="A3" s="37"/>
      <c r="B3" s="37"/>
      <c r="C3" s="37"/>
      <c r="D3" s="37" t="s">
        <v>5</v>
      </c>
      <c r="E3" s="37" t="s">
        <v>6</v>
      </c>
      <c r="F3" s="44"/>
      <c r="G3" s="41"/>
      <c r="H3" s="9" t="s">
        <v>7</v>
      </c>
      <c r="I3" s="41"/>
      <c r="J3" s="47"/>
      <c r="K3" s="50"/>
      <c r="L3" s="47"/>
      <c r="M3" s="50"/>
      <c r="N3" s="47"/>
      <c r="O3" s="50"/>
      <c r="P3" s="47"/>
      <c r="Q3" s="50"/>
      <c r="R3" s="58"/>
      <c r="S3" s="50"/>
      <c r="T3" s="32"/>
      <c r="U3" s="53"/>
      <c r="V3" s="53"/>
    </row>
    <row r="4" spans="1:44" s="13" customFormat="1" ht="13.5" customHeight="1" thickBot="1" x14ac:dyDescent="0.4">
      <c r="A4" s="38"/>
      <c r="B4" s="38"/>
      <c r="C4" s="38"/>
      <c r="D4" s="38"/>
      <c r="E4" s="38"/>
      <c r="F4" s="45"/>
      <c r="G4" s="42"/>
      <c r="H4" s="10" t="s">
        <v>8</v>
      </c>
      <c r="I4" s="42"/>
      <c r="J4" s="48"/>
      <c r="K4" s="51"/>
      <c r="L4" s="48"/>
      <c r="M4" s="51"/>
      <c r="N4" s="48"/>
      <c r="O4" s="51"/>
      <c r="P4" s="48"/>
      <c r="Q4" s="51"/>
      <c r="R4" s="59"/>
      <c r="S4" s="51"/>
      <c r="T4" s="32"/>
      <c r="U4" s="54"/>
      <c r="V4" s="54"/>
    </row>
    <row r="5" spans="1:44" ht="14.25" customHeight="1" x14ac:dyDescent="0.35">
      <c r="AC5" t="str">
        <f>A10</f>
        <v>DH</v>
      </c>
      <c r="AF5" s="14">
        <f>BASE!D10</f>
        <v>15</v>
      </c>
      <c r="AG5" s="14">
        <f>D11</f>
        <v>58</v>
      </c>
      <c r="AH5" s="14">
        <f>E10</f>
        <v>19.625</v>
      </c>
      <c r="AI5" s="14">
        <f>E11</f>
        <v>96</v>
      </c>
      <c r="AJ5" s="14">
        <f>F11</f>
        <v>144</v>
      </c>
      <c r="AK5" s="15">
        <f>G11</f>
        <v>2.4</v>
      </c>
      <c r="AN5" s="15">
        <f>K11</f>
        <v>0.06</v>
      </c>
      <c r="AO5" s="15">
        <f>M11</f>
        <v>0.17</v>
      </c>
      <c r="AP5" s="15">
        <f>O11</f>
        <v>0.02</v>
      </c>
      <c r="AQ5" s="15">
        <f>Q11</f>
        <v>0</v>
      </c>
      <c r="AR5" s="15">
        <f>S11</f>
        <v>0</v>
      </c>
    </row>
    <row r="6" spans="1:44" x14ac:dyDescent="0.35">
      <c r="B6" t="s">
        <v>9</v>
      </c>
      <c r="C6" t="s">
        <v>10</v>
      </c>
      <c r="D6">
        <v>36</v>
      </c>
      <c r="E6">
        <v>36</v>
      </c>
      <c r="F6" s="1">
        <v>187</v>
      </c>
      <c r="G6" s="1">
        <f>F6/($D6+$E6)</f>
        <v>2.5972222222222223</v>
      </c>
      <c r="I6" s="1">
        <f>(H6-$F6)/($D6+$E6)</f>
        <v>-2.5972222222222223</v>
      </c>
      <c r="J6" s="1">
        <v>265</v>
      </c>
      <c r="K6" s="1">
        <f>(J6-$F6)/($D6*$E6)</f>
        <v>6.0185185185185182E-2</v>
      </c>
      <c r="L6" s="1">
        <v>215</v>
      </c>
      <c r="M6" s="1">
        <f>L6/($D6*$E6)</f>
        <v>0.16589506172839505</v>
      </c>
      <c r="N6" s="1">
        <v>205</v>
      </c>
      <c r="O6" s="1">
        <f>(N6-$F6)/($D6*$E6)</f>
        <v>1.3888888888888888E-2</v>
      </c>
      <c r="Q6" s="1">
        <f>(P6-$F6)/($D6*$E6)</f>
        <v>-0.14429012345679013</v>
      </c>
      <c r="S6" s="1">
        <f>(R6-$F6)/($D6+$E6)</f>
        <v>-2.5972222222222223</v>
      </c>
      <c r="U6">
        <v>2.5</v>
      </c>
      <c r="V6">
        <v>3</v>
      </c>
      <c r="AD6">
        <f t="shared" ref="AD6:AE9" si="0">D6</f>
        <v>36</v>
      </c>
      <c r="AE6">
        <f t="shared" si="0"/>
        <v>36</v>
      </c>
      <c r="AK6" s="15">
        <f>G6</f>
        <v>2.5972222222222223</v>
      </c>
      <c r="AL6">
        <f t="shared" ref="AL6:AM9" si="1">U6</f>
        <v>2.5</v>
      </c>
      <c r="AM6">
        <f t="shared" si="1"/>
        <v>3</v>
      </c>
      <c r="AN6" s="15">
        <f>K6</f>
        <v>6.0185185185185182E-2</v>
      </c>
      <c r="AO6" s="15">
        <f>M6</f>
        <v>0.16589506172839505</v>
      </c>
      <c r="AP6" s="15">
        <f>O6</f>
        <v>1.3888888888888888E-2</v>
      </c>
      <c r="AQ6" s="15">
        <f>Q6</f>
        <v>-0.14429012345679013</v>
      </c>
      <c r="AR6" s="15">
        <f>S6</f>
        <v>-2.5972222222222223</v>
      </c>
    </row>
    <row r="7" spans="1:44" x14ac:dyDescent="0.35">
      <c r="D7" s="2">
        <v>36</v>
      </c>
      <c r="E7" s="2">
        <v>60</v>
      </c>
      <c r="F7" s="1">
        <v>213</v>
      </c>
      <c r="G7" s="1">
        <f t="shared" ref="G7:G9" si="2">F7/($D7+$E7)</f>
        <v>2.21875</v>
      </c>
      <c r="I7" s="1">
        <f t="shared" ref="I7:I25" si="3">(H7-$F7)/($D7+$E7)</f>
        <v>-2.21875</v>
      </c>
      <c r="J7" s="1">
        <v>346</v>
      </c>
      <c r="K7" s="1">
        <f t="shared" ref="K7:K32" si="4">(J7-$F7)/($D7*$E7)</f>
        <v>6.1574074074074073E-2</v>
      </c>
      <c r="L7" s="1">
        <v>259</v>
      </c>
      <c r="M7" s="1">
        <f t="shared" ref="M7:M9" si="5">L7/($D7*$E7)</f>
        <v>0.11990740740740741</v>
      </c>
      <c r="N7" s="1">
        <v>247</v>
      </c>
      <c r="O7" s="1">
        <f t="shared" ref="O7:Q32" si="6">(N7-$F7)/($D7*$E7)</f>
        <v>1.5740740740740739E-2</v>
      </c>
      <c r="Q7" s="1">
        <f>(P7-$F7)/($D7*$E7)</f>
        <v>-9.8611111111111108E-2</v>
      </c>
      <c r="S7" s="1">
        <f t="shared" ref="S7:S18" si="7">(R7-$F7)/($D7+$E7)</f>
        <v>-2.21875</v>
      </c>
      <c r="U7">
        <v>2.5</v>
      </c>
      <c r="V7">
        <v>3</v>
      </c>
      <c r="AD7">
        <f t="shared" si="0"/>
        <v>36</v>
      </c>
      <c r="AE7">
        <f t="shared" si="0"/>
        <v>60</v>
      </c>
      <c r="AK7" s="15">
        <f>G7</f>
        <v>2.21875</v>
      </c>
      <c r="AL7">
        <f t="shared" si="1"/>
        <v>2.5</v>
      </c>
      <c r="AM7">
        <f t="shared" si="1"/>
        <v>3</v>
      </c>
      <c r="AN7" s="15">
        <f>K7</f>
        <v>6.1574074074074073E-2</v>
      </c>
      <c r="AO7" s="15">
        <f>M7</f>
        <v>0.11990740740740741</v>
      </c>
      <c r="AP7" s="15">
        <f>O7</f>
        <v>1.5740740740740739E-2</v>
      </c>
      <c r="AQ7" s="15">
        <f>Q7</f>
        <v>-9.8611111111111108E-2</v>
      </c>
      <c r="AR7" s="15">
        <f>S7</f>
        <v>-2.21875</v>
      </c>
    </row>
    <row r="8" spans="1:44" x14ac:dyDescent="0.35">
      <c r="D8" s="2">
        <v>36</v>
      </c>
      <c r="E8" s="2">
        <v>72</v>
      </c>
      <c r="F8" s="1">
        <v>262</v>
      </c>
      <c r="G8" s="1">
        <f t="shared" si="2"/>
        <v>2.425925925925926</v>
      </c>
      <c r="I8" s="1">
        <f t="shared" si="3"/>
        <v>-2.425925925925926</v>
      </c>
      <c r="J8" s="1">
        <v>395</v>
      </c>
      <c r="K8" s="1">
        <f t="shared" si="4"/>
        <v>5.1311728395061727E-2</v>
      </c>
      <c r="L8" s="1">
        <v>308</v>
      </c>
      <c r="M8" s="1">
        <f t="shared" si="5"/>
        <v>0.11882716049382716</v>
      </c>
      <c r="N8" s="1">
        <v>295</v>
      </c>
      <c r="O8" s="1">
        <f t="shared" si="6"/>
        <v>1.2731481481481481E-2</v>
      </c>
      <c r="Q8" s="1">
        <f t="shared" si="6"/>
        <v>-0.10108024691358025</v>
      </c>
      <c r="S8" s="1">
        <f t="shared" si="7"/>
        <v>-2.425925925925926</v>
      </c>
      <c r="U8">
        <v>2.5</v>
      </c>
      <c r="V8">
        <v>3</v>
      </c>
      <c r="AD8">
        <f t="shared" si="0"/>
        <v>36</v>
      </c>
      <c r="AE8">
        <f t="shared" si="0"/>
        <v>72</v>
      </c>
      <c r="AK8" s="15">
        <f>G8</f>
        <v>2.425925925925926</v>
      </c>
      <c r="AL8">
        <f t="shared" si="1"/>
        <v>2.5</v>
      </c>
      <c r="AM8">
        <f t="shared" si="1"/>
        <v>3</v>
      </c>
      <c r="AN8" s="15">
        <f>K8</f>
        <v>5.1311728395061727E-2</v>
      </c>
      <c r="AO8" s="15">
        <f>M8</f>
        <v>0.11882716049382716</v>
      </c>
      <c r="AP8" s="15">
        <f>O8</f>
        <v>1.2731481481481481E-2</v>
      </c>
      <c r="AQ8" s="15">
        <f>Q8</f>
        <v>-0.10108024691358025</v>
      </c>
      <c r="AR8" s="15">
        <f>S8</f>
        <v>-2.425925925925926</v>
      </c>
    </row>
    <row r="9" spans="1:44" ht="15" thickBot="1" x14ac:dyDescent="0.4">
      <c r="D9">
        <v>42</v>
      </c>
      <c r="E9">
        <v>79</v>
      </c>
      <c r="F9" s="1">
        <v>262</v>
      </c>
      <c r="G9" s="1">
        <f t="shared" si="2"/>
        <v>2.165289256198347</v>
      </c>
      <c r="I9" s="1">
        <f t="shared" si="3"/>
        <v>-2.165289256198347</v>
      </c>
      <c r="J9" s="1">
        <v>395</v>
      </c>
      <c r="K9" s="1">
        <f t="shared" si="4"/>
        <v>4.0084388185654012E-2</v>
      </c>
      <c r="L9" s="1">
        <v>308</v>
      </c>
      <c r="M9" s="1">
        <f t="shared" si="5"/>
        <v>9.2827004219409287E-2</v>
      </c>
      <c r="N9" s="1">
        <v>295</v>
      </c>
      <c r="O9" s="1">
        <f t="shared" si="6"/>
        <v>9.9457504520795662E-3</v>
      </c>
      <c r="Q9" s="1">
        <f t="shared" si="6"/>
        <v>-7.8963230861965036E-2</v>
      </c>
      <c r="S9" s="1">
        <f t="shared" si="7"/>
        <v>-2.165289256198347</v>
      </c>
      <c r="U9">
        <v>2.5</v>
      </c>
      <c r="V9">
        <v>3</v>
      </c>
      <c r="AD9">
        <f t="shared" si="0"/>
        <v>42</v>
      </c>
      <c r="AE9">
        <f t="shared" si="0"/>
        <v>79</v>
      </c>
      <c r="AK9" s="15">
        <f>G9</f>
        <v>2.165289256198347</v>
      </c>
      <c r="AL9">
        <f t="shared" si="1"/>
        <v>2.5</v>
      </c>
      <c r="AM9">
        <f t="shared" si="1"/>
        <v>3</v>
      </c>
      <c r="AN9" s="15">
        <f>K9</f>
        <v>4.0084388185654012E-2</v>
      </c>
      <c r="AO9" s="15">
        <f>M9</f>
        <v>9.2827004219409287E-2</v>
      </c>
      <c r="AP9" s="15">
        <f>O9</f>
        <v>9.9457504520795662E-3</v>
      </c>
      <c r="AQ9" s="15">
        <f>Q9</f>
        <v>-7.8963230861965036E-2</v>
      </c>
      <c r="AR9" s="15">
        <f>S9</f>
        <v>-2.165289256198347</v>
      </c>
    </row>
    <row r="10" spans="1:44" ht="15" thickBot="1" x14ac:dyDescent="0.4">
      <c r="A10" s="39" t="s">
        <v>11</v>
      </c>
      <c r="B10" s="55" t="s">
        <v>12</v>
      </c>
      <c r="C10" s="27" t="s">
        <v>13</v>
      </c>
      <c r="D10" s="11">
        <v>15</v>
      </c>
      <c r="E10" s="11">
        <v>19.625</v>
      </c>
      <c r="F10" s="28" t="s">
        <v>60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4"/>
      <c r="S10" s="5"/>
      <c r="U10" s="4"/>
      <c r="V10" s="4"/>
    </row>
    <row r="11" spans="1:44" ht="15" thickBot="1" x14ac:dyDescent="0.4">
      <c r="A11" s="39"/>
      <c r="B11" s="56"/>
      <c r="C11" s="27" t="s">
        <v>14</v>
      </c>
      <c r="D11" s="11">
        <v>58</v>
      </c>
      <c r="E11" s="11">
        <v>96</v>
      </c>
      <c r="F11" s="25">
        <v>144</v>
      </c>
      <c r="G11" s="3">
        <v>2.4</v>
      </c>
      <c r="H11" s="5"/>
      <c r="I11" s="3">
        <v>0.3</v>
      </c>
      <c r="J11" s="5"/>
      <c r="K11" s="3">
        <v>0.06</v>
      </c>
      <c r="L11" s="5"/>
      <c r="M11" s="3">
        <v>0.17</v>
      </c>
      <c r="N11" s="5"/>
      <c r="O11" s="3">
        <v>0.02</v>
      </c>
      <c r="P11" s="5"/>
      <c r="Q11" s="3"/>
      <c r="R11" s="4"/>
      <c r="S11" s="3"/>
      <c r="U11" s="4"/>
      <c r="V11" s="4"/>
    </row>
    <row r="12" spans="1:44" x14ac:dyDescent="0.35">
      <c r="A12" s="39"/>
      <c r="B12" s="4"/>
      <c r="C12" s="4"/>
      <c r="D12" s="4"/>
      <c r="E12" s="4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4"/>
      <c r="S12" s="5"/>
      <c r="U12" s="4"/>
      <c r="V12" s="4"/>
      <c r="AC12" t="str">
        <f>A19</f>
        <v>2LS</v>
      </c>
      <c r="AF12" s="14">
        <f>D19</f>
        <v>21.625</v>
      </c>
      <c r="AG12" s="14">
        <f>D20</f>
        <v>84</v>
      </c>
      <c r="AH12" s="14">
        <f>E19</f>
        <v>14.875</v>
      </c>
      <c r="AI12" s="14">
        <f>E20</f>
        <v>65</v>
      </c>
      <c r="AJ12" s="14">
        <f>F20</f>
        <v>140</v>
      </c>
      <c r="AK12" s="15">
        <f>G20</f>
        <v>2.5</v>
      </c>
      <c r="AN12" s="15">
        <f>K20</f>
        <v>0.08</v>
      </c>
      <c r="AO12" s="15">
        <f>M20</f>
        <v>0.16</v>
      </c>
      <c r="AP12" s="15">
        <f>O20</f>
        <v>0.03</v>
      </c>
      <c r="AQ12" s="15">
        <f>Q20</f>
        <v>0</v>
      </c>
      <c r="AR12" s="15">
        <f>S20</f>
        <v>0</v>
      </c>
    </row>
    <row r="13" spans="1:44" x14ac:dyDescent="0.35">
      <c r="D13">
        <v>36</v>
      </c>
      <c r="E13">
        <v>36</v>
      </c>
      <c r="F13" s="1">
        <v>184</v>
      </c>
      <c r="G13" s="1">
        <f t="shared" ref="G13:G45" si="8">F13/($D13+$E13)</f>
        <v>2.5555555555555554</v>
      </c>
      <c r="I13" s="1">
        <f t="shared" si="3"/>
        <v>-2.5555555555555554</v>
      </c>
      <c r="J13" s="1">
        <v>262</v>
      </c>
      <c r="K13" s="1">
        <f t="shared" si="4"/>
        <v>6.0185185185185182E-2</v>
      </c>
      <c r="L13" s="1">
        <v>212</v>
      </c>
      <c r="M13" s="1">
        <f t="shared" ref="M13:M32" si="9">L13/($D13*$E13)</f>
        <v>0.16358024691358025</v>
      </c>
      <c r="N13" s="1">
        <v>204</v>
      </c>
      <c r="O13" s="1">
        <f t="shared" si="6"/>
        <v>1.5432098765432098E-2</v>
      </c>
      <c r="Q13" s="1">
        <f t="shared" si="6"/>
        <v>-0.1419753086419753</v>
      </c>
      <c r="S13" s="1">
        <f t="shared" si="7"/>
        <v>-2.5555555555555554</v>
      </c>
      <c r="U13">
        <v>2.5</v>
      </c>
      <c r="V13">
        <v>3</v>
      </c>
      <c r="AD13">
        <f t="shared" ref="AD13:AE18" si="10">D12</f>
        <v>0</v>
      </c>
      <c r="AE13">
        <f t="shared" si="10"/>
        <v>0</v>
      </c>
      <c r="AK13" s="15">
        <f t="shared" ref="AK13:AK18" si="11">G12</f>
        <v>0</v>
      </c>
      <c r="AL13">
        <f t="shared" ref="AL13:AM18" si="12">U12</f>
        <v>0</v>
      </c>
      <c r="AM13">
        <f t="shared" si="12"/>
        <v>0</v>
      </c>
      <c r="AN13" s="15">
        <f t="shared" ref="AN13:AN18" si="13">K12</f>
        <v>0</v>
      </c>
      <c r="AO13" s="15">
        <f t="shared" ref="AO13:AO18" si="14">M12</f>
        <v>0</v>
      </c>
      <c r="AP13" s="15">
        <f t="shared" ref="AP13:AP18" si="15">O12</f>
        <v>0</v>
      </c>
      <c r="AQ13" s="15">
        <f t="shared" ref="AQ13:AQ18" si="16">Q12</f>
        <v>0</v>
      </c>
      <c r="AR13" s="15">
        <f t="shared" ref="AR13:AR18" si="17">S12</f>
        <v>0</v>
      </c>
    </row>
    <row r="14" spans="1:44" x14ac:dyDescent="0.35">
      <c r="D14" s="2">
        <v>48</v>
      </c>
      <c r="E14" s="2">
        <v>36</v>
      </c>
      <c r="F14" s="1">
        <v>209</v>
      </c>
      <c r="G14" s="1">
        <f t="shared" si="8"/>
        <v>2.4880952380952381</v>
      </c>
      <c r="I14" s="1">
        <f t="shared" si="3"/>
        <v>-2.4880952380952381</v>
      </c>
      <c r="J14" s="1">
        <v>342</v>
      </c>
      <c r="K14" s="1">
        <f t="shared" si="4"/>
        <v>7.6967592592592587E-2</v>
      </c>
      <c r="L14" s="1">
        <v>255</v>
      </c>
      <c r="M14" s="1">
        <f t="shared" si="9"/>
        <v>0.14756944444444445</v>
      </c>
      <c r="N14" s="1">
        <v>259</v>
      </c>
      <c r="O14" s="1">
        <f t="shared" si="6"/>
        <v>2.8935185185185185E-2</v>
      </c>
      <c r="Q14" s="1">
        <f t="shared" si="6"/>
        <v>-0.12094907407407407</v>
      </c>
      <c r="S14" s="1">
        <f t="shared" si="7"/>
        <v>-2.4880952380952381</v>
      </c>
      <c r="U14">
        <v>2.5</v>
      </c>
      <c r="V14">
        <v>3</v>
      </c>
      <c r="AD14">
        <f t="shared" si="10"/>
        <v>36</v>
      </c>
      <c r="AE14">
        <f t="shared" si="10"/>
        <v>36</v>
      </c>
      <c r="AK14" s="15">
        <f t="shared" si="11"/>
        <v>2.5555555555555554</v>
      </c>
      <c r="AL14">
        <f t="shared" si="12"/>
        <v>2.5</v>
      </c>
      <c r="AM14">
        <f t="shared" si="12"/>
        <v>3</v>
      </c>
      <c r="AN14" s="15">
        <f t="shared" si="13"/>
        <v>6.0185185185185182E-2</v>
      </c>
      <c r="AO14" s="15">
        <f t="shared" si="14"/>
        <v>0.16358024691358025</v>
      </c>
      <c r="AP14" s="15">
        <f t="shared" si="15"/>
        <v>1.5432098765432098E-2</v>
      </c>
      <c r="AQ14" s="15">
        <f t="shared" si="16"/>
        <v>-0.1419753086419753</v>
      </c>
      <c r="AR14" s="15">
        <f t="shared" si="17"/>
        <v>-2.5555555555555554</v>
      </c>
    </row>
    <row r="15" spans="1:44" x14ac:dyDescent="0.35">
      <c r="D15" s="2">
        <v>60</v>
      </c>
      <c r="E15" s="2">
        <v>36</v>
      </c>
      <c r="F15" s="1">
        <v>231</v>
      </c>
      <c r="G15" s="1">
        <f t="shared" si="8"/>
        <v>2.40625</v>
      </c>
      <c r="I15" s="1">
        <f t="shared" si="3"/>
        <v>-2.40625</v>
      </c>
      <c r="J15" s="1">
        <v>364</v>
      </c>
      <c r="K15" s="1">
        <f t="shared" si="4"/>
        <v>6.1574074074074073E-2</v>
      </c>
      <c r="L15" s="1">
        <v>277</v>
      </c>
      <c r="M15" s="1">
        <f t="shared" si="9"/>
        <v>0.12824074074074074</v>
      </c>
      <c r="N15" s="1">
        <v>280</v>
      </c>
      <c r="O15" s="1">
        <f t="shared" si="6"/>
        <v>2.2685185185185187E-2</v>
      </c>
      <c r="Q15" s="1">
        <f t="shared" si="6"/>
        <v>-0.10694444444444444</v>
      </c>
      <c r="S15" s="1">
        <f t="shared" si="7"/>
        <v>-2.40625</v>
      </c>
      <c r="U15">
        <v>2.5</v>
      </c>
      <c r="V15">
        <v>3</v>
      </c>
      <c r="AD15">
        <f t="shared" si="10"/>
        <v>48</v>
      </c>
      <c r="AE15">
        <f t="shared" si="10"/>
        <v>36</v>
      </c>
      <c r="AK15" s="15">
        <f t="shared" si="11"/>
        <v>2.4880952380952381</v>
      </c>
      <c r="AL15">
        <f t="shared" si="12"/>
        <v>2.5</v>
      </c>
      <c r="AM15">
        <f t="shared" si="12"/>
        <v>3</v>
      </c>
      <c r="AN15" s="15">
        <f t="shared" si="13"/>
        <v>7.6967592592592587E-2</v>
      </c>
      <c r="AO15" s="15">
        <f t="shared" si="14"/>
        <v>0.14756944444444445</v>
      </c>
      <c r="AP15" s="15">
        <f t="shared" si="15"/>
        <v>2.8935185185185185E-2</v>
      </c>
      <c r="AQ15" s="15">
        <f t="shared" si="16"/>
        <v>-0.12094907407407407</v>
      </c>
      <c r="AR15" s="15">
        <f t="shared" si="17"/>
        <v>-2.4880952380952381</v>
      </c>
    </row>
    <row r="16" spans="1:44" x14ac:dyDescent="0.35">
      <c r="D16" s="2">
        <v>72</v>
      </c>
      <c r="E16" s="2">
        <v>36</v>
      </c>
      <c r="F16" s="1">
        <v>265</v>
      </c>
      <c r="G16" s="1">
        <f t="shared" si="8"/>
        <v>2.4537037037037037</v>
      </c>
      <c r="I16" s="1">
        <f t="shared" si="3"/>
        <v>-2.4537037037037037</v>
      </c>
      <c r="J16" s="1">
        <v>398</v>
      </c>
      <c r="K16" s="1">
        <f t="shared" si="4"/>
        <v>5.1311728395061727E-2</v>
      </c>
      <c r="L16" s="1">
        <v>311</v>
      </c>
      <c r="M16" s="1">
        <f t="shared" si="9"/>
        <v>0.11998456790123457</v>
      </c>
      <c r="N16" s="1">
        <v>314</v>
      </c>
      <c r="O16" s="1">
        <f t="shared" si="6"/>
        <v>1.8904320987654322E-2</v>
      </c>
      <c r="Q16" s="1">
        <f t="shared" si="6"/>
        <v>-0.10223765432098765</v>
      </c>
      <c r="S16" s="1">
        <f t="shared" si="7"/>
        <v>-2.4537037037037037</v>
      </c>
      <c r="U16">
        <v>2.5</v>
      </c>
      <c r="V16">
        <v>3</v>
      </c>
      <c r="AD16">
        <f t="shared" si="10"/>
        <v>60</v>
      </c>
      <c r="AE16">
        <f t="shared" si="10"/>
        <v>36</v>
      </c>
      <c r="AK16" s="15">
        <f t="shared" si="11"/>
        <v>2.40625</v>
      </c>
      <c r="AL16">
        <f t="shared" si="12"/>
        <v>2.5</v>
      </c>
      <c r="AM16">
        <f t="shared" si="12"/>
        <v>3</v>
      </c>
      <c r="AN16" s="15">
        <f t="shared" si="13"/>
        <v>6.1574074074074073E-2</v>
      </c>
      <c r="AO16" s="15">
        <f t="shared" si="14"/>
        <v>0.12824074074074074</v>
      </c>
      <c r="AP16" s="15">
        <f t="shared" si="15"/>
        <v>2.2685185185185187E-2</v>
      </c>
      <c r="AQ16" s="15">
        <f t="shared" si="16"/>
        <v>-0.10694444444444444</v>
      </c>
      <c r="AR16" s="15">
        <f t="shared" si="17"/>
        <v>-2.40625</v>
      </c>
    </row>
    <row r="17" spans="1:44" x14ac:dyDescent="0.35">
      <c r="D17">
        <v>60</v>
      </c>
      <c r="E17">
        <v>60</v>
      </c>
      <c r="F17" s="1">
        <v>305</v>
      </c>
      <c r="G17" s="1">
        <f t="shared" si="8"/>
        <v>2.5416666666666665</v>
      </c>
      <c r="I17" s="1">
        <f t="shared" si="3"/>
        <v>-2.5416666666666665</v>
      </c>
      <c r="J17" s="1">
        <v>438</v>
      </c>
      <c r="K17" s="1">
        <f t="shared" si="4"/>
        <v>3.6944444444444446E-2</v>
      </c>
      <c r="L17" s="1">
        <v>351</v>
      </c>
      <c r="M17" s="1">
        <f t="shared" si="9"/>
        <v>9.7500000000000003E-2</v>
      </c>
      <c r="N17" s="1">
        <v>354</v>
      </c>
      <c r="O17" s="1">
        <f t="shared" si="6"/>
        <v>1.361111111111111E-2</v>
      </c>
      <c r="Q17" s="1">
        <f t="shared" si="6"/>
        <v>-8.4722222222222227E-2</v>
      </c>
      <c r="S17" s="1">
        <f t="shared" si="7"/>
        <v>-2.5416666666666665</v>
      </c>
      <c r="U17">
        <v>2.5</v>
      </c>
      <c r="V17">
        <v>3</v>
      </c>
      <c r="AD17">
        <f t="shared" si="10"/>
        <v>72</v>
      </c>
      <c r="AE17">
        <f t="shared" si="10"/>
        <v>36</v>
      </c>
      <c r="AK17" s="15">
        <f t="shared" si="11"/>
        <v>2.4537037037037037</v>
      </c>
      <c r="AL17">
        <f t="shared" si="12"/>
        <v>2.5</v>
      </c>
      <c r="AM17">
        <f t="shared" si="12"/>
        <v>3</v>
      </c>
      <c r="AN17" s="15">
        <f t="shared" si="13"/>
        <v>5.1311728395061727E-2</v>
      </c>
      <c r="AO17" s="15">
        <f t="shared" si="14"/>
        <v>0.11998456790123457</v>
      </c>
      <c r="AP17" s="15">
        <f t="shared" si="15"/>
        <v>1.8904320987654322E-2</v>
      </c>
      <c r="AQ17" s="15">
        <f t="shared" si="16"/>
        <v>-0.10223765432098765</v>
      </c>
      <c r="AR17" s="15">
        <f t="shared" si="17"/>
        <v>-2.4537037037037037</v>
      </c>
    </row>
    <row r="18" spans="1:44" ht="15" thickBot="1" x14ac:dyDescent="0.4">
      <c r="D18">
        <v>70</v>
      </c>
      <c r="E18">
        <v>65</v>
      </c>
      <c r="F18" s="1">
        <v>343</v>
      </c>
      <c r="G18" s="1">
        <f t="shared" si="8"/>
        <v>2.5407407407407407</v>
      </c>
      <c r="I18" s="1">
        <f t="shared" si="3"/>
        <v>-2.5407407407407407</v>
      </c>
      <c r="J18" s="1">
        <v>696</v>
      </c>
      <c r="K18" s="1">
        <f t="shared" si="4"/>
        <v>7.7582417582417587E-2</v>
      </c>
      <c r="L18" s="1">
        <v>388</v>
      </c>
      <c r="M18" s="1">
        <f t="shared" si="9"/>
        <v>8.527472527472528E-2</v>
      </c>
      <c r="N18" s="1">
        <v>392</v>
      </c>
      <c r="O18" s="1">
        <f t="shared" si="6"/>
        <v>1.0769230769230769E-2</v>
      </c>
      <c r="Q18" s="1">
        <f t="shared" si="6"/>
        <v>-7.5384615384615383E-2</v>
      </c>
      <c r="S18" s="1">
        <f t="shared" si="7"/>
        <v>-2.5407407407407407</v>
      </c>
      <c r="U18">
        <v>2.5</v>
      </c>
      <c r="V18">
        <v>3</v>
      </c>
      <c r="AD18">
        <f t="shared" si="10"/>
        <v>60</v>
      </c>
      <c r="AE18">
        <f t="shared" si="10"/>
        <v>60</v>
      </c>
      <c r="AK18" s="15">
        <f t="shared" si="11"/>
        <v>2.5416666666666665</v>
      </c>
      <c r="AL18">
        <f t="shared" si="12"/>
        <v>2.5</v>
      </c>
      <c r="AM18">
        <f t="shared" si="12"/>
        <v>3</v>
      </c>
      <c r="AN18" s="15">
        <f t="shared" si="13"/>
        <v>3.6944444444444446E-2</v>
      </c>
      <c r="AO18" s="15">
        <f t="shared" si="14"/>
        <v>9.7500000000000003E-2</v>
      </c>
      <c r="AP18" s="15">
        <f t="shared" si="15"/>
        <v>1.361111111111111E-2</v>
      </c>
      <c r="AQ18" s="15">
        <f t="shared" si="16"/>
        <v>-8.4722222222222227E-2</v>
      </c>
      <c r="AR18" s="15">
        <f t="shared" si="17"/>
        <v>-2.5416666666666665</v>
      </c>
    </row>
    <row r="19" spans="1:44" ht="15" thickBot="1" x14ac:dyDescent="0.4">
      <c r="A19" s="35" t="s">
        <v>15</v>
      </c>
      <c r="B19" s="55" t="s">
        <v>12</v>
      </c>
      <c r="C19" s="27" t="s">
        <v>13</v>
      </c>
      <c r="D19" s="11">
        <v>21.625</v>
      </c>
      <c r="E19" s="11">
        <v>14.875</v>
      </c>
      <c r="F19" s="28" t="s">
        <v>60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4"/>
      <c r="S19" s="5"/>
      <c r="U19" s="4"/>
      <c r="V19" s="4"/>
    </row>
    <row r="20" spans="1:44" ht="15" thickBot="1" x14ac:dyDescent="0.4">
      <c r="A20" s="35"/>
      <c r="B20" s="56"/>
      <c r="C20" s="27" t="s">
        <v>14</v>
      </c>
      <c r="D20" s="11">
        <v>84</v>
      </c>
      <c r="E20" s="11">
        <v>65</v>
      </c>
      <c r="F20" s="25">
        <v>140</v>
      </c>
      <c r="G20" s="3">
        <v>2.5</v>
      </c>
      <c r="H20" s="5"/>
      <c r="I20" s="3"/>
      <c r="J20" s="5"/>
      <c r="K20" s="3">
        <v>0.08</v>
      </c>
      <c r="L20" s="5"/>
      <c r="M20" s="3">
        <v>0.16</v>
      </c>
      <c r="N20" s="5"/>
      <c r="O20" s="3">
        <v>0.03</v>
      </c>
      <c r="P20" s="5"/>
      <c r="Q20" s="3"/>
      <c r="R20" s="4"/>
      <c r="S20" s="3"/>
      <c r="U20" s="4"/>
      <c r="V20" s="4"/>
    </row>
    <row r="21" spans="1:44" x14ac:dyDescent="0.35">
      <c r="A21" s="35"/>
      <c r="B21" s="4"/>
      <c r="C21" s="4"/>
      <c r="D21" s="4"/>
      <c r="E21" s="4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4"/>
      <c r="S21" s="5"/>
      <c r="U21" s="4"/>
      <c r="V21" s="4"/>
      <c r="AC21" t="str">
        <f>A26</f>
        <v>3LS</v>
      </c>
      <c r="AF21" s="14">
        <f>D26</f>
        <v>39.25</v>
      </c>
      <c r="AG21" s="14">
        <f>D27</f>
        <v>120</v>
      </c>
      <c r="AH21" s="14">
        <f>E26</f>
        <v>16.25</v>
      </c>
      <c r="AI21" s="14">
        <f>E27</f>
        <v>65</v>
      </c>
      <c r="AJ21" s="14">
        <f>F27</f>
        <v>188</v>
      </c>
      <c r="AK21" s="15">
        <f>G27</f>
        <v>2.9</v>
      </c>
      <c r="AN21" s="15">
        <f>K27</f>
        <v>0.08</v>
      </c>
      <c r="AO21" s="15">
        <f>M27</f>
        <v>0.13</v>
      </c>
      <c r="AP21" s="15">
        <f>O27</f>
        <v>0.02</v>
      </c>
      <c r="AQ21" s="15">
        <f>Q27</f>
        <v>0</v>
      </c>
      <c r="AR21" s="15">
        <f>S27</f>
        <v>0</v>
      </c>
    </row>
    <row r="22" spans="1:44" x14ac:dyDescent="0.35">
      <c r="D22" s="2">
        <v>72</v>
      </c>
      <c r="E22" s="2">
        <v>36</v>
      </c>
      <c r="F22" s="1">
        <v>302</v>
      </c>
      <c r="G22" s="1">
        <f t="shared" si="8"/>
        <v>2.7962962962962963</v>
      </c>
      <c r="I22" s="1">
        <f t="shared" si="3"/>
        <v>-2.7962962962962963</v>
      </c>
      <c r="J22" s="1">
        <v>493</v>
      </c>
      <c r="K22" s="1">
        <f t="shared" si="4"/>
        <v>7.3688271604938266E-2</v>
      </c>
      <c r="L22" s="1">
        <v>343</v>
      </c>
      <c r="M22" s="1">
        <f t="shared" si="9"/>
        <v>0.13233024691358025</v>
      </c>
      <c r="N22" s="1">
        <v>331</v>
      </c>
      <c r="O22" s="1">
        <f t="shared" si="6"/>
        <v>1.1188271604938271E-2</v>
      </c>
      <c r="Q22" s="1">
        <f t="shared" si="6"/>
        <v>-0.11651234567901235</v>
      </c>
      <c r="S22" s="1">
        <f t="shared" ref="S22:S25" si="18">(R22-$F22)/($D22+$E22)</f>
        <v>-2.7962962962962963</v>
      </c>
      <c r="U22">
        <v>2.5</v>
      </c>
      <c r="V22">
        <v>3</v>
      </c>
      <c r="AD22">
        <f t="shared" ref="AD22:AE25" si="19">D22</f>
        <v>72</v>
      </c>
      <c r="AE22">
        <f t="shared" si="19"/>
        <v>36</v>
      </c>
      <c r="AK22" s="15">
        <f>G22</f>
        <v>2.7962962962962963</v>
      </c>
      <c r="AL22">
        <f t="shared" ref="AL22:AM25" si="20">U22</f>
        <v>2.5</v>
      </c>
      <c r="AM22">
        <f t="shared" si="20"/>
        <v>3</v>
      </c>
      <c r="AN22" s="15">
        <f>K22</f>
        <v>7.3688271604938266E-2</v>
      </c>
      <c r="AO22" s="15">
        <f>M22</f>
        <v>0.13233024691358025</v>
      </c>
      <c r="AP22" s="15">
        <f>O22</f>
        <v>1.1188271604938271E-2</v>
      </c>
      <c r="AQ22" s="15">
        <f>Q22</f>
        <v>-0.11651234567901235</v>
      </c>
      <c r="AR22" s="15">
        <f>S22</f>
        <v>-2.7962962962962963</v>
      </c>
    </row>
    <row r="23" spans="1:44" x14ac:dyDescent="0.35">
      <c r="D23" s="2">
        <v>72</v>
      </c>
      <c r="E23" s="2">
        <v>60</v>
      </c>
      <c r="F23" s="1">
        <v>383</v>
      </c>
      <c r="G23" s="1">
        <f t="shared" si="8"/>
        <v>2.9015151515151514</v>
      </c>
      <c r="I23" s="1">
        <f t="shared" si="3"/>
        <v>-2.9015151515151514</v>
      </c>
      <c r="J23" s="1">
        <v>741</v>
      </c>
      <c r="K23" s="1">
        <f t="shared" si="4"/>
        <v>8.2870370370370372E-2</v>
      </c>
      <c r="L23" s="1">
        <v>452</v>
      </c>
      <c r="M23" s="1">
        <f t="shared" si="9"/>
        <v>0.10462962962962963</v>
      </c>
      <c r="N23" s="1">
        <v>457</v>
      </c>
      <c r="O23" s="1">
        <f t="shared" si="6"/>
        <v>1.712962962962963E-2</v>
      </c>
      <c r="Q23" s="1">
        <f t="shared" si="6"/>
        <v>-8.8657407407407407E-2</v>
      </c>
      <c r="S23" s="1">
        <f t="shared" si="18"/>
        <v>-2.9015151515151514</v>
      </c>
      <c r="U23">
        <v>2.5</v>
      </c>
      <c r="V23">
        <v>3</v>
      </c>
      <c r="AD23">
        <f t="shared" si="19"/>
        <v>72</v>
      </c>
      <c r="AE23">
        <f t="shared" si="19"/>
        <v>60</v>
      </c>
      <c r="AK23" s="15">
        <f>G23</f>
        <v>2.9015151515151514</v>
      </c>
      <c r="AL23">
        <f t="shared" si="20"/>
        <v>2.5</v>
      </c>
      <c r="AM23">
        <f t="shared" si="20"/>
        <v>3</v>
      </c>
      <c r="AN23" s="15">
        <f>K23</f>
        <v>8.2870370370370372E-2</v>
      </c>
      <c r="AO23" s="15">
        <f>M23</f>
        <v>0.10462962962962963</v>
      </c>
      <c r="AP23" s="15">
        <f>O23</f>
        <v>1.712962962962963E-2</v>
      </c>
      <c r="AQ23" s="15">
        <f>Q23</f>
        <v>-8.8657407407407407E-2</v>
      </c>
      <c r="AR23" s="15">
        <f>S23</f>
        <v>-2.9015151515151514</v>
      </c>
    </row>
    <row r="24" spans="1:44" x14ac:dyDescent="0.35">
      <c r="D24" s="2">
        <v>96</v>
      </c>
      <c r="E24" s="2">
        <v>60</v>
      </c>
      <c r="F24" s="1">
        <v>452</v>
      </c>
      <c r="G24" s="1">
        <f t="shared" si="8"/>
        <v>2.8974358974358974</v>
      </c>
      <c r="I24" s="1">
        <f t="shared" si="3"/>
        <v>-2.8974358974358974</v>
      </c>
      <c r="J24" s="1">
        <v>809</v>
      </c>
      <c r="K24" s="1">
        <f t="shared" si="4"/>
        <v>6.1979166666666669E-2</v>
      </c>
      <c r="L24" s="1">
        <v>520</v>
      </c>
      <c r="M24" s="1">
        <f t="shared" si="9"/>
        <v>9.0277777777777776E-2</v>
      </c>
      <c r="N24" s="1">
        <v>525</v>
      </c>
      <c r="O24" s="1">
        <f t="shared" si="6"/>
        <v>1.2673611111111111E-2</v>
      </c>
      <c r="Q24" s="1">
        <f t="shared" si="6"/>
        <v>-7.8472222222222221E-2</v>
      </c>
      <c r="S24" s="1">
        <f t="shared" si="18"/>
        <v>-2.8974358974358974</v>
      </c>
      <c r="U24">
        <v>3</v>
      </c>
      <c r="V24">
        <v>3.5</v>
      </c>
      <c r="AD24">
        <f t="shared" si="19"/>
        <v>96</v>
      </c>
      <c r="AE24">
        <f t="shared" si="19"/>
        <v>60</v>
      </c>
      <c r="AK24" s="15">
        <f>G24</f>
        <v>2.8974358974358974</v>
      </c>
      <c r="AL24">
        <f t="shared" si="20"/>
        <v>3</v>
      </c>
      <c r="AM24">
        <f t="shared" si="20"/>
        <v>3.5</v>
      </c>
      <c r="AN24" s="15">
        <f>K24</f>
        <v>6.1979166666666669E-2</v>
      </c>
      <c r="AO24" s="15">
        <f>M24</f>
        <v>9.0277777777777776E-2</v>
      </c>
      <c r="AP24" s="15">
        <f>O24</f>
        <v>1.2673611111111111E-2</v>
      </c>
      <c r="AQ24" s="15">
        <f>Q24</f>
        <v>-7.8472222222222221E-2</v>
      </c>
      <c r="AR24" s="15">
        <f>S24</f>
        <v>-2.8974358974358974</v>
      </c>
    </row>
    <row r="25" spans="1:44" ht="15" thickBot="1" x14ac:dyDescent="0.4">
      <c r="D25">
        <v>110</v>
      </c>
      <c r="E25">
        <v>65</v>
      </c>
      <c r="F25" s="1">
        <v>583</v>
      </c>
      <c r="G25" s="1">
        <f t="shared" si="8"/>
        <v>3.3314285714285714</v>
      </c>
      <c r="I25" s="1">
        <f t="shared" si="3"/>
        <v>-3.3314285714285714</v>
      </c>
      <c r="J25" s="1">
        <v>1114</v>
      </c>
      <c r="K25" s="1">
        <f t="shared" si="4"/>
        <v>7.4265734265734268E-2</v>
      </c>
      <c r="L25" s="1">
        <v>652</v>
      </c>
      <c r="M25" s="1">
        <f t="shared" si="9"/>
        <v>9.1188811188811184E-2</v>
      </c>
      <c r="N25" s="1">
        <v>657</v>
      </c>
      <c r="O25" s="1">
        <f t="shared" si="6"/>
        <v>1.0349650349650351E-2</v>
      </c>
      <c r="Q25" s="1">
        <f t="shared" si="6"/>
        <v>-8.1538461538461532E-2</v>
      </c>
      <c r="S25" s="1">
        <f t="shared" si="18"/>
        <v>-3.3314285714285714</v>
      </c>
      <c r="U25">
        <v>3</v>
      </c>
      <c r="V25">
        <v>3.5</v>
      </c>
      <c r="AD25">
        <f t="shared" si="19"/>
        <v>110</v>
      </c>
      <c r="AE25">
        <f t="shared" si="19"/>
        <v>65</v>
      </c>
      <c r="AK25" s="15">
        <f>G25</f>
        <v>3.3314285714285714</v>
      </c>
      <c r="AL25">
        <f t="shared" si="20"/>
        <v>3</v>
      </c>
      <c r="AM25">
        <f t="shared" si="20"/>
        <v>3.5</v>
      </c>
      <c r="AN25" s="15">
        <f>K25</f>
        <v>7.4265734265734268E-2</v>
      </c>
      <c r="AO25" s="15">
        <f>M25</f>
        <v>9.1188811188811184E-2</v>
      </c>
      <c r="AP25" s="15">
        <f>O25</f>
        <v>1.0349650349650351E-2</v>
      </c>
      <c r="AQ25" s="15">
        <f>Q25</f>
        <v>-8.1538461538461532E-2</v>
      </c>
      <c r="AR25" s="15">
        <f>S25</f>
        <v>-3.3314285714285714</v>
      </c>
    </row>
    <row r="26" spans="1:44" ht="15" thickBot="1" x14ac:dyDescent="0.4">
      <c r="A26" s="35" t="s">
        <v>16</v>
      </c>
      <c r="B26" s="55" t="s">
        <v>12</v>
      </c>
      <c r="C26" s="27" t="s">
        <v>13</v>
      </c>
      <c r="D26" s="11">
        <v>39.25</v>
      </c>
      <c r="E26" s="11">
        <v>16.25</v>
      </c>
      <c r="F26" s="28" t="s">
        <v>60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4"/>
      <c r="S26" s="5"/>
      <c r="U26" s="4"/>
      <c r="V26" s="4"/>
    </row>
    <row r="27" spans="1:44" ht="15" thickBot="1" x14ac:dyDescent="0.4">
      <c r="A27" s="35"/>
      <c r="B27" s="56"/>
      <c r="C27" s="27" t="s">
        <v>14</v>
      </c>
      <c r="D27" s="11">
        <v>120</v>
      </c>
      <c r="E27" s="11">
        <v>65</v>
      </c>
      <c r="F27" s="25">
        <v>188</v>
      </c>
      <c r="G27" s="3">
        <v>2.9</v>
      </c>
      <c r="H27" s="5"/>
      <c r="I27" s="3"/>
      <c r="J27" s="5"/>
      <c r="K27" s="3">
        <v>0.08</v>
      </c>
      <c r="L27" s="5"/>
      <c r="M27" s="3">
        <v>0.13</v>
      </c>
      <c r="N27" s="5"/>
      <c r="O27" s="3">
        <v>0.02</v>
      </c>
      <c r="P27" s="5"/>
      <c r="Q27" s="3"/>
      <c r="R27" s="4"/>
      <c r="S27" s="3"/>
      <c r="U27" s="4"/>
      <c r="V27" s="4"/>
    </row>
    <row r="28" spans="1:44" x14ac:dyDescent="0.35">
      <c r="A28" s="35"/>
      <c r="B28" s="4"/>
      <c r="C28" s="4"/>
      <c r="D28" s="4"/>
      <c r="E28" s="4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U28" s="4"/>
      <c r="V28" s="4"/>
      <c r="AC28" t="str">
        <f>A33</f>
        <v>PIC</v>
      </c>
      <c r="AF28" s="14">
        <f>D33</f>
        <v>10</v>
      </c>
      <c r="AG28" s="14">
        <f>D34</f>
        <v>96</v>
      </c>
      <c r="AH28" s="14">
        <f>E33</f>
        <v>10</v>
      </c>
      <c r="AI28" s="14">
        <f>E34</f>
        <v>96</v>
      </c>
      <c r="AJ28" s="14">
        <f>F34</f>
        <v>160</v>
      </c>
      <c r="AK28" s="15">
        <f>G34</f>
        <v>0</v>
      </c>
      <c r="AN28" s="15">
        <f>K34</f>
        <v>0.08</v>
      </c>
      <c r="AO28" s="15">
        <f>M34</f>
        <v>0.13</v>
      </c>
      <c r="AP28" s="15">
        <f>O34</f>
        <v>0.03</v>
      </c>
      <c r="AQ28" s="15">
        <f>Q34</f>
        <v>0</v>
      </c>
      <c r="AR28" s="15">
        <f>S34</f>
        <v>0</v>
      </c>
    </row>
    <row r="29" spans="1:44" x14ac:dyDescent="0.35">
      <c r="D29" s="2">
        <v>36</v>
      </c>
      <c r="E29" s="2">
        <v>60</v>
      </c>
      <c r="F29" s="1">
        <v>180</v>
      </c>
      <c r="G29" s="1">
        <f t="shared" si="8"/>
        <v>1.875</v>
      </c>
      <c r="J29" s="1">
        <v>299</v>
      </c>
      <c r="K29" s="1">
        <f t="shared" si="4"/>
        <v>5.5092592592592596E-2</v>
      </c>
      <c r="L29" s="1">
        <v>203</v>
      </c>
      <c r="M29" s="1">
        <f t="shared" si="9"/>
        <v>9.3981481481481485E-2</v>
      </c>
      <c r="N29" s="1">
        <v>210</v>
      </c>
      <c r="O29" s="1">
        <f t="shared" si="6"/>
        <v>1.3888888888888888E-2</v>
      </c>
      <c r="Q29" s="1">
        <f t="shared" si="6"/>
        <v>-8.3333333333333329E-2</v>
      </c>
      <c r="S29" s="1">
        <f t="shared" ref="S29:S32" si="21">(R29-$F29)/($D29+$E29)</f>
        <v>-1.875</v>
      </c>
      <c r="U29">
        <v>2.5</v>
      </c>
      <c r="V29">
        <v>3</v>
      </c>
      <c r="AD29">
        <f t="shared" ref="AD29:AE32" si="22">D29</f>
        <v>36</v>
      </c>
      <c r="AE29">
        <f t="shared" si="22"/>
        <v>60</v>
      </c>
      <c r="AK29" s="15">
        <f>G29</f>
        <v>1.875</v>
      </c>
      <c r="AL29">
        <f t="shared" ref="AL29:AM32" si="23">U29</f>
        <v>2.5</v>
      </c>
      <c r="AM29">
        <f t="shared" si="23"/>
        <v>3</v>
      </c>
      <c r="AN29" s="15">
        <f>K29</f>
        <v>5.5092592592592596E-2</v>
      </c>
      <c r="AO29" s="15">
        <f>M29</f>
        <v>9.3981481481481485E-2</v>
      </c>
      <c r="AP29" s="15">
        <f>O29</f>
        <v>1.3888888888888888E-2</v>
      </c>
      <c r="AQ29" s="15">
        <f>Q29</f>
        <v>-8.3333333333333329E-2</v>
      </c>
      <c r="AR29" s="15">
        <f>S29</f>
        <v>-1.875</v>
      </c>
    </row>
    <row r="30" spans="1:44" x14ac:dyDescent="0.35">
      <c r="D30" s="2">
        <v>48</v>
      </c>
      <c r="E30" s="2">
        <v>60</v>
      </c>
      <c r="F30" s="1">
        <v>201</v>
      </c>
      <c r="G30" s="1">
        <f t="shared" si="8"/>
        <v>1.8611111111111112</v>
      </c>
      <c r="J30" s="1">
        <v>400</v>
      </c>
      <c r="K30" s="1">
        <f t="shared" si="4"/>
        <v>6.9097222222222227E-2</v>
      </c>
      <c r="L30" s="1">
        <v>231</v>
      </c>
      <c r="M30" s="1">
        <f t="shared" si="9"/>
        <v>8.020833333333334E-2</v>
      </c>
      <c r="N30" s="1">
        <v>249</v>
      </c>
      <c r="O30" s="1">
        <f t="shared" ref="O30:O32" si="24">(N30-$F30)/($D30*$E30)</f>
        <v>1.6666666666666666E-2</v>
      </c>
      <c r="Q30" s="1">
        <f t="shared" si="6"/>
        <v>-6.9791666666666669E-2</v>
      </c>
      <c r="S30" s="1">
        <f t="shared" si="21"/>
        <v>-1.8611111111111112</v>
      </c>
      <c r="U30">
        <v>2.5</v>
      </c>
      <c r="V30">
        <v>3</v>
      </c>
      <c r="AD30">
        <f t="shared" si="22"/>
        <v>48</v>
      </c>
      <c r="AE30">
        <f t="shared" si="22"/>
        <v>60</v>
      </c>
      <c r="AK30" s="15">
        <f>G30</f>
        <v>1.8611111111111112</v>
      </c>
      <c r="AL30">
        <f t="shared" si="23"/>
        <v>2.5</v>
      </c>
      <c r="AM30">
        <f t="shared" si="23"/>
        <v>3</v>
      </c>
      <c r="AN30" s="15">
        <f>K30</f>
        <v>6.9097222222222227E-2</v>
      </c>
      <c r="AO30" s="15">
        <f>M30</f>
        <v>8.020833333333334E-2</v>
      </c>
      <c r="AP30" s="15">
        <f>O30</f>
        <v>1.6666666666666666E-2</v>
      </c>
      <c r="AQ30" s="15">
        <f>Q30</f>
        <v>-6.9791666666666669E-2</v>
      </c>
      <c r="AR30" s="15">
        <f>S30</f>
        <v>-1.8611111111111112</v>
      </c>
    </row>
    <row r="31" spans="1:44" x14ac:dyDescent="0.35">
      <c r="B31" t="s">
        <v>17</v>
      </c>
      <c r="D31" s="2">
        <v>60</v>
      </c>
      <c r="E31" s="2">
        <v>60</v>
      </c>
      <c r="F31" s="1">
        <v>400</v>
      </c>
      <c r="G31" s="1">
        <f t="shared" si="8"/>
        <v>3.3333333333333335</v>
      </c>
      <c r="K31" s="1">
        <f t="shared" si="4"/>
        <v>-0.1111111111111111</v>
      </c>
      <c r="M31" s="1">
        <f t="shared" si="9"/>
        <v>0</v>
      </c>
      <c r="O31" s="1">
        <f t="shared" si="24"/>
        <v>-0.1111111111111111</v>
      </c>
      <c r="Q31" s="1">
        <f t="shared" si="6"/>
        <v>-0.1111111111111111</v>
      </c>
      <c r="S31" s="1">
        <f t="shared" si="21"/>
        <v>-3.3333333333333335</v>
      </c>
      <c r="U31">
        <v>2.5</v>
      </c>
      <c r="V31">
        <v>3</v>
      </c>
      <c r="AD31">
        <f t="shared" si="22"/>
        <v>60</v>
      </c>
      <c r="AE31">
        <f t="shared" si="22"/>
        <v>60</v>
      </c>
      <c r="AK31" s="15">
        <f>G31</f>
        <v>3.3333333333333335</v>
      </c>
      <c r="AL31">
        <f t="shared" si="23"/>
        <v>2.5</v>
      </c>
      <c r="AM31">
        <f t="shared" si="23"/>
        <v>3</v>
      </c>
      <c r="AN31" s="15">
        <f>K31</f>
        <v>-0.1111111111111111</v>
      </c>
      <c r="AO31" s="15">
        <f>M31</f>
        <v>0</v>
      </c>
      <c r="AP31" s="15">
        <f>O31</f>
        <v>-0.1111111111111111</v>
      </c>
      <c r="AQ31" s="15">
        <f>Q31</f>
        <v>-0.1111111111111111</v>
      </c>
      <c r="AR31" s="15">
        <f>S31</f>
        <v>-3.3333333333333335</v>
      </c>
    </row>
    <row r="32" spans="1:44" ht="15" thickBot="1" x14ac:dyDescent="0.4">
      <c r="B32" t="s">
        <v>17</v>
      </c>
      <c r="D32" s="2">
        <v>60</v>
      </c>
      <c r="E32" s="2">
        <v>72</v>
      </c>
      <c r="F32" s="1">
        <v>438</v>
      </c>
      <c r="G32" s="1">
        <f t="shared" si="8"/>
        <v>3.3181818181818183</v>
      </c>
      <c r="J32" s="1">
        <v>689</v>
      </c>
      <c r="K32" s="1">
        <f t="shared" si="4"/>
        <v>5.8101851851851849E-2</v>
      </c>
      <c r="L32" s="1">
        <v>430</v>
      </c>
      <c r="M32" s="1">
        <f t="shared" si="9"/>
        <v>9.9537037037037035E-2</v>
      </c>
      <c r="O32" s="1">
        <f t="shared" si="24"/>
        <v>-0.10138888888888889</v>
      </c>
      <c r="Q32" s="1">
        <f t="shared" si="6"/>
        <v>-0.10138888888888889</v>
      </c>
      <c r="S32" s="1">
        <f t="shared" si="21"/>
        <v>-3.3181818181818183</v>
      </c>
      <c r="U32">
        <v>2.5</v>
      </c>
      <c r="V32">
        <v>3</v>
      </c>
      <c r="AD32">
        <f t="shared" si="22"/>
        <v>60</v>
      </c>
      <c r="AE32">
        <f t="shared" si="22"/>
        <v>72</v>
      </c>
      <c r="AK32" s="15">
        <f>G32</f>
        <v>3.3181818181818183</v>
      </c>
      <c r="AL32">
        <f t="shared" si="23"/>
        <v>2.5</v>
      </c>
      <c r="AM32">
        <f t="shared" si="23"/>
        <v>3</v>
      </c>
      <c r="AN32" s="15">
        <f>K32</f>
        <v>5.8101851851851849E-2</v>
      </c>
      <c r="AO32" s="15">
        <f>M32</f>
        <v>9.9537037037037035E-2</v>
      </c>
      <c r="AP32" s="15">
        <f>O32</f>
        <v>-0.10138888888888889</v>
      </c>
      <c r="AQ32" s="15">
        <f>Q32</f>
        <v>-0.10138888888888889</v>
      </c>
      <c r="AR32" s="15">
        <f>S32</f>
        <v>-3.3181818181818183</v>
      </c>
    </row>
    <row r="33" spans="1:44" ht="15" thickBot="1" x14ac:dyDescent="0.4">
      <c r="A33" s="35" t="s">
        <v>18</v>
      </c>
      <c r="B33" s="55" t="s">
        <v>12</v>
      </c>
      <c r="C33" s="27" t="s">
        <v>13</v>
      </c>
      <c r="D33" s="11">
        <v>10</v>
      </c>
      <c r="E33" s="11">
        <v>10</v>
      </c>
      <c r="F33" s="28" t="s">
        <v>60</v>
      </c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4"/>
      <c r="S33" s="5"/>
      <c r="U33" s="4"/>
      <c r="V33" s="4"/>
    </row>
    <row r="34" spans="1:44" ht="15" thickBot="1" x14ac:dyDescent="0.4">
      <c r="A34" s="35"/>
      <c r="B34" s="56"/>
      <c r="C34" s="27" t="s">
        <v>14</v>
      </c>
      <c r="D34" s="11">
        <v>96</v>
      </c>
      <c r="E34" s="11">
        <v>96</v>
      </c>
      <c r="F34" s="25">
        <v>160</v>
      </c>
      <c r="G34" s="3"/>
      <c r="H34" s="5"/>
      <c r="I34" s="3"/>
      <c r="J34" s="5"/>
      <c r="K34" s="3">
        <v>0.08</v>
      </c>
      <c r="L34" s="5"/>
      <c r="M34" s="3">
        <v>0.13</v>
      </c>
      <c r="N34" s="5"/>
      <c r="O34" s="3">
        <v>0.03</v>
      </c>
      <c r="P34" s="5"/>
      <c r="Q34" s="3"/>
      <c r="R34" s="4"/>
      <c r="S34" s="3"/>
      <c r="U34" s="4"/>
      <c r="V34" s="4"/>
    </row>
    <row r="35" spans="1:44" x14ac:dyDescent="0.35">
      <c r="A35" s="35"/>
      <c r="B35" s="4"/>
      <c r="C35" s="4"/>
      <c r="D35" s="4"/>
      <c r="E35" s="4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4"/>
      <c r="S35" s="5"/>
      <c r="U35" s="4"/>
      <c r="V35" s="4"/>
      <c r="AC35" t="str">
        <f>A40</f>
        <v>CASE</v>
      </c>
      <c r="AF35" s="14">
        <f>D40</f>
        <v>0</v>
      </c>
      <c r="AG35" s="14">
        <f>D41</f>
        <v>0</v>
      </c>
      <c r="AH35" s="14">
        <f>E40</f>
        <v>0</v>
      </c>
      <c r="AI35" s="14">
        <f>E41</f>
        <v>0</v>
      </c>
      <c r="AJ35" s="14">
        <f>F41</f>
        <v>0</v>
      </c>
      <c r="AK35" s="15">
        <f>G41</f>
        <v>0</v>
      </c>
      <c r="AN35" s="15">
        <f>K41</f>
        <v>0</v>
      </c>
      <c r="AO35" s="15">
        <f>M41</f>
        <v>0</v>
      </c>
      <c r="AP35" s="15">
        <f>O41</f>
        <v>0</v>
      </c>
      <c r="AQ35" s="15">
        <f>Q41</f>
        <v>0</v>
      </c>
      <c r="AR35" s="15">
        <f>S41</f>
        <v>0</v>
      </c>
    </row>
    <row r="36" spans="1:44" x14ac:dyDescent="0.35">
      <c r="D36">
        <v>24</v>
      </c>
      <c r="E36">
        <v>48</v>
      </c>
      <c r="G36" s="1">
        <f t="shared" si="8"/>
        <v>0</v>
      </c>
      <c r="K36" s="1">
        <f t="shared" ref="K36:K39" si="25">(J36-$F36)/($D36*$E36)</f>
        <v>0</v>
      </c>
      <c r="M36" s="1">
        <f t="shared" ref="M36:M39" si="26">L36/($D36*$E36)</f>
        <v>0</v>
      </c>
      <c r="O36" s="1">
        <f t="shared" ref="O36:O39" si="27">(N36-$F36)/($D36*$E36)</f>
        <v>0</v>
      </c>
      <c r="Q36" s="1">
        <f t="shared" ref="Q36:Q39" si="28">(P36-$F36)/($D36*$E36)</f>
        <v>0</v>
      </c>
      <c r="S36" s="1">
        <f t="shared" ref="S36:S39" si="29">(R36-$F36)/($D36+$E36)</f>
        <v>0</v>
      </c>
      <c r="AD36">
        <f t="shared" ref="AD36:AE39" si="30">D36</f>
        <v>24</v>
      </c>
      <c r="AE36">
        <f t="shared" si="30"/>
        <v>48</v>
      </c>
      <c r="AK36" s="15">
        <f>G36</f>
        <v>0</v>
      </c>
      <c r="AL36">
        <f t="shared" ref="AL36:AL39" si="31">U36</f>
        <v>0</v>
      </c>
      <c r="AM36">
        <f t="shared" ref="AM36:AM39" si="32">V36</f>
        <v>0</v>
      </c>
      <c r="AN36" s="15">
        <f>K36</f>
        <v>0</v>
      </c>
      <c r="AO36" s="15">
        <f>M36</f>
        <v>0</v>
      </c>
      <c r="AP36" s="15">
        <f>O36</f>
        <v>0</v>
      </c>
      <c r="AQ36" s="15">
        <f>Q36</f>
        <v>0</v>
      </c>
      <c r="AR36" s="15">
        <f>S36</f>
        <v>0</v>
      </c>
    </row>
    <row r="37" spans="1:44" x14ac:dyDescent="0.35">
      <c r="D37">
        <v>36</v>
      </c>
      <c r="E37">
        <v>48</v>
      </c>
      <c r="G37" s="1">
        <f t="shared" si="8"/>
        <v>0</v>
      </c>
      <c r="K37" s="1">
        <f t="shared" si="25"/>
        <v>0</v>
      </c>
      <c r="M37" s="1">
        <f t="shared" si="26"/>
        <v>0</v>
      </c>
      <c r="O37" s="1">
        <f t="shared" si="27"/>
        <v>0</v>
      </c>
      <c r="Q37" s="1">
        <f t="shared" si="28"/>
        <v>0</v>
      </c>
      <c r="S37" s="1">
        <f t="shared" si="29"/>
        <v>0</v>
      </c>
      <c r="AD37">
        <f t="shared" si="30"/>
        <v>36</v>
      </c>
      <c r="AE37">
        <f t="shared" si="30"/>
        <v>48</v>
      </c>
      <c r="AK37" s="15">
        <f>G37</f>
        <v>0</v>
      </c>
      <c r="AL37">
        <f t="shared" si="31"/>
        <v>0</v>
      </c>
      <c r="AM37">
        <f t="shared" si="32"/>
        <v>0</v>
      </c>
      <c r="AN37" s="15">
        <f>K37</f>
        <v>0</v>
      </c>
      <c r="AO37" s="15">
        <f>M37</f>
        <v>0</v>
      </c>
      <c r="AP37" s="15">
        <f>O37</f>
        <v>0</v>
      </c>
      <c r="AQ37" s="15">
        <f>Q37</f>
        <v>0</v>
      </c>
      <c r="AR37" s="15">
        <f>S37</f>
        <v>0</v>
      </c>
    </row>
    <row r="38" spans="1:44" x14ac:dyDescent="0.35">
      <c r="D38">
        <v>36</v>
      </c>
      <c r="E38">
        <v>60</v>
      </c>
      <c r="G38" s="1">
        <f t="shared" si="8"/>
        <v>0</v>
      </c>
      <c r="K38" s="1">
        <f t="shared" si="25"/>
        <v>0</v>
      </c>
      <c r="M38" s="1">
        <f t="shared" si="26"/>
        <v>0</v>
      </c>
      <c r="O38" s="1">
        <f t="shared" si="27"/>
        <v>0</v>
      </c>
      <c r="Q38" s="1">
        <f t="shared" si="28"/>
        <v>0</v>
      </c>
      <c r="S38" s="1">
        <f t="shared" si="29"/>
        <v>0</v>
      </c>
      <c r="AD38">
        <f t="shared" si="30"/>
        <v>36</v>
      </c>
      <c r="AE38">
        <f t="shared" si="30"/>
        <v>60</v>
      </c>
      <c r="AK38" s="15">
        <f>G38</f>
        <v>0</v>
      </c>
      <c r="AL38">
        <f t="shared" si="31"/>
        <v>0</v>
      </c>
      <c r="AM38">
        <f t="shared" si="32"/>
        <v>0</v>
      </c>
      <c r="AN38" s="15">
        <f>K38</f>
        <v>0</v>
      </c>
      <c r="AO38" s="15">
        <f>M38</f>
        <v>0</v>
      </c>
      <c r="AP38" s="15">
        <f>O38</f>
        <v>0</v>
      </c>
      <c r="AQ38" s="15">
        <f>Q38</f>
        <v>0</v>
      </c>
      <c r="AR38" s="15">
        <f>S38</f>
        <v>0</v>
      </c>
    </row>
    <row r="39" spans="1:44" ht="15" thickBot="1" x14ac:dyDescent="0.4">
      <c r="D39">
        <v>36</v>
      </c>
      <c r="E39">
        <v>65</v>
      </c>
      <c r="G39" s="1">
        <f t="shared" si="8"/>
        <v>0</v>
      </c>
      <c r="K39" s="1">
        <f t="shared" si="25"/>
        <v>0</v>
      </c>
      <c r="M39" s="1">
        <f t="shared" si="26"/>
        <v>0</v>
      </c>
      <c r="O39" s="1">
        <f t="shared" si="27"/>
        <v>0</v>
      </c>
      <c r="Q39" s="1">
        <f t="shared" si="28"/>
        <v>0</v>
      </c>
      <c r="S39" s="1">
        <f t="shared" si="29"/>
        <v>0</v>
      </c>
      <c r="AD39">
        <f t="shared" si="30"/>
        <v>36</v>
      </c>
      <c r="AE39">
        <f t="shared" si="30"/>
        <v>65</v>
      </c>
      <c r="AK39" s="15">
        <f>G39</f>
        <v>0</v>
      </c>
      <c r="AL39">
        <f t="shared" si="31"/>
        <v>0</v>
      </c>
      <c r="AM39">
        <f t="shared" si="32"/>
        <v>0</v>
      </c>
      <c r="AN39" s="15">
        <f>K39</f>
        <v>0</v>
      </c>
      <c r="AO39" s="15">
        <f>M39</f>
        <v>0</v>
      </c>
      <c r="AP39" s="15">
        <f>O39</f>
        <v>0</v>
      </c>
      <c r="AQ39" s="15">
        <f>Q39</f>
        <v>0</v>
      </c>
      <c r="AR39" s="15">
        <f>S39</f>
        <v>0</v>
      </c>
    </row>
    <row r="40" spans="1:44" ht="15" thickBot="1" x14ac:dyDescent="0.4">
      <c r="A40" s="35" t="s">
        <v>19</v>
      </c>
      <c r="B40" s="55" t="s">
        <v>12</v>
      </c>
      <c r="C40" s="27" t="s">
        <v>13</v>
      </c>
      <c r="D40" s="11"/>
      <c r="E40" s="11"/>
      <c r="F40" s="28" t="s">
        <v>60</v>
      </c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4"/>
      <c r="S40" s="5"/>
      <c r="U40" s="4"/>
      <c r="V40" s="4"/>
    </row>
    <row r="41" spans="1:44" ht="15" thickBot="1" x14ac:dyDescent="0.4">
      <c r="A41" s="35"/>
      <c r="B41" s="56"/>
      <c r="C41" s="27" t="s">
        <v>14</v>
      </c>
      <c r="D41" s="11"/>
      <c r="E41" s="11"/>
      <c r="F41" s="25"/>
      <c r="G41" s="3"/>
      <c r="H41" s="5"/>
      <c r="I41" s="3"/>
      <c r="J41" s="5"/>
      <c r="K41" s="3"/>
      <c r="L41" s="5"/>
      <c r="M41" s="3"/>
      <c r="N41" s="5"/>
      <c r="O41" s="3"/>
      <c r="P41" s="5"/>
      <c r="Q41" s="3"/>
      <c r="R41" s="4"/>
      <c r="S41" s="3"/>
      <c r="U41" s="4"/>
      <c r="V41" s="4"/>
    </row>
    <row r="42" spans="1:44" x14ac:dyDescent="0.35">
      <c r="A42" s="35"/>
      <c r="B42" s="4"/>
      <c r="C42" s="4"/>
      <c r="D42" s="4"/>
      <c r="E42" s="4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4"/>
      <c r="S42" s="5"/>
      <c r="U42" s="4"/>
      <c r="V42" s="4"/>
      <c r="AC42" t="str">
        <f>A46</f>
        <v>TWIN CASE</v>
      </c>
      <c r="AF42" s="14">
        <f>D46</f>
        <v>0</v>
      </c>
      <c r="AG42" s="14">
        <f>D47</f>
        <v>0</v>
      </c>
      <c r="AH42" s="14">
        <f>E46</f>
        <v>0</v>
      </c>
      <c r="AI42" s="14">
        <f>E47</f>
        <v>0</v>
      </c>
      <c r="AJ42" s="14">
        <f>F47</f>
        <v>0</v>
      </c>
      <c r="AK42" s="15">
        <f>G47</f>
        <v>0</v>
      </c>
      <c r="AN42" s="15">
        <f>K47</f>
        <v>0</v>
      </c>
      <c r="AO42" s="15">
        <f>M47</f>
        <v>0</v>
      </c>
      <c r="AP42" s="15">
        <f>O47</f>
        <v>0</v>
      </c>
      <c r="AQ42" s="15">
        <f>Q47</f>
        <v>0</v>
      </c>
      <c r="AR42" s="15">
        <f>S47</f>
        <v>0</v>
      </c>
    </row>
    <row r="43" spans="1:44" x14ac:dyDescent="0.35">
      <c r="D43">
        <v>48</v>
      </c>
      <c r="E43">
        <v>36</v>
      </c>
      <c r="G43" s="1">
        <f t="shared" si="8"/>
        <v>0</v>
      </c>
      <c r="K43" s="1">
        <f t="shared" ref="K43:K45" si="33">(J43-$F43)/($D43*$E43)</f>
        <v>0</v>
      </c>
      <c r="M43" s="1">
        <f t="shared" ref="M43:M45" si="34">L43/($D43*$E43)</f>
        <v>0</v>
      </c>
      <c r="O43" s="1">
        <f t="shared" ref="O43:O45" si="35">(N43-$F43)/($D43*$E43)</f>
        <v>0</v>
      </c>
      <c r="Q43" s="1">
        <f t="shared" ref="Q43:Q45" si="36">(P43-$F43)/($D43*$E43)</f>
        <v>0</v>
      </c>
      <c r="S43" s="1">
        <f t="shared" ref="S43:S45" si="37">(R43-$F43)/($D43+$E43)</f>
        <v>0</v>
      </c>
      <c r="AD43">
        <f t="shared" ref="AD43:AE45" si="38">D43</f>
        <v>48</v>
      </c>
      <c r="AE43">
        <f t="shared" si="38"/>
        <v>36</v>
      </c>
      <c r="AK43" s="15">
        <f>G43</f>
        <v>0</v>
      </c>
      <c r="AL43">
        <f t="shared" ref="AL43:AM45" si="39">U43</f>
        <v>0</v>
      </c>
      <c r="AM43">
        <f t="shared" si="39"/>
        <v>0</v>
      </c>
      <c r="AN43" s="15">
        <f>K43</f>
        <v>0</v>
      </c>
      <c r="AO43" s="15">
        <f>M43</f>
        <v>0</v>
      </c>
      <c r="AP43" s="15">
        <f>O43</f>
        <v>0</v>
      </c>
      <c r="AQ43" s="15">
        <f>Q43</f>
        <v>0</v>
      </c>
      <c r="AR43" s="15">
        <f>S43</f>
        <v>0</v>
      </c>
    </row>
    <row r="44" spans="1:44" x14ac:dyDescent="0.35">
      <c r="D44">
        <v>48</v>
      </c>
      <c r="E44">
        <v>48</v>
      </c>
      <c r="G44" s="1">
        <f t="shared" si="8"/>
        <v>0</v>
      </c>
      <c r="K44" s="1">
        <f t="shared" si="33"/>
        <v>0</v>
      </c>
      <c r="M44" s="1">
        <f t="shared" si="34"/>
        <v>0</v>
      </c>
      <c r="O44" s="1">
        <f t="shared" si="35"/>
        <v>0</v>
      </c>
      <c r="Q44" s="1">
        <f t="shared" si="36"/>
        <v>0</v>
      </c>
      <c r="S44" s="1">
        <f t="shared" si="37"/>
        <v>0</v>
      </c>
      <c r="AD44">
        <f t="shared" si="38"/>
        <v>48</v>
      </c>
      <c r="AE44">
        <f t="shared" si="38"/>
        <v>48</v>
      </c>
      <c r="AK44" s="15">
        <f>G44</f>
        <v>0</v>
      </c>
      <c r="AL44">
        <f t="shared" si="39"/>
        <v>0</v>
      </c>
      <c r="AM44">
        <f t="shared" si="39"/>
        <v>0</v>
      </c>
      <c r="AN44" s="15">
        <f>K44</f>
        <v>0</v>
      </c>
      <c r="AO44" s="15">
        <f>M44</f>
        <v>0</v>
      </c>
      <c r="AP44" s="15">
        <f>O44</f>
        <v>0</v>
      </c>
      <c r="AQ44" s="15">
        <f>Q44</f>
        <v>0</v>
      </c>
      <c r="AR44" s="15">
        <f>S44</f>
        <v>0</v>
      </c>
    </row>
    <row r="45" spans="1:44" ht="15" thickBot="1" x14ac:dyDescent="0.4">
      <c r="D45">
        <v>60</v>
      </c>
      <c r="E45">
        <v>48</v>
      </c>
      <c r="G45" s="1">
        <f t="shared" si="8"/>
        <v>0</v>
      </c>
      <c r="K45" s="1">
        <f t="shared" si="33"/>
        <v>0</v>
      </c>
      <c r="M45" s="1">
        <f t="shared" si="34"/>
        <v>0</v>
      </c>
      <c r="O45" s="1">
        <f t="shared" si="35"/>
        <v>0</v>
      </c>
      <c r="Q45" s="1">
        <f t="shared" si="36"/>
        <v>0</v>
      </c>
      <c r="S45" s="1">
        <f t="shared" si="37"/>
        <v>0</v>
      </c>
      <c r="AD45">
        <f t="shared" si="38"/>
        <v>60</v>
      </c>
      <c r="AE45">
        <f t="shared" si="38"/>
        <v>48</v>
      </c>
      <c r="AK45" s="15">
        <f>G45</f>
        <v>0</v>
      </c>
      <c r="AL45">
        <f t="shared" si="39"/>
        <v>0</v>
      </c>
      <c r="AM45">
        <f t="shared" si="39"/>
        <v>0</v>
      </c>
      <c r="AN45" s="15">
        <f>K45</f>
        <v>0</v>
      </c>
      <c r="AO45" s="15">
        <f>M45</f>
        <v>0</v>
      </c>
      <c r="AP45" s="15">
        <f>O45</f>
        <v>0</v>
      </c>
      <c r="AQ45" s="15">
        <f>Q45</f>
        <v>0</v>
      </c>
      <c r="AR45" s="15">
        <f>S45</f>
        <v>0</v>
      </c>
    </row>
    <row r="46" spans="1:44" ht="15" thickBot="1" x14ac:dyDescent="0.4">
      <c r="A46" s="35" t="s">
        <v>20</v>
      </c>
      <c r="B46" s="55" t="s">
        <v>12</v>
      </c>
      <c r="C46" s="27" t="s">
        <v>13</v>
      </c>
      <c r="D46" s="11"/>
      <c r="E46" s="11"/>
      <c r="F46" s="28" t="s">
        <v>60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4"/>
      <c r="S46" s="5"/>
      <c r="U46" s="4"/>
      <c r="V46" s="4"/>
    </row>
    <row r="47" spans="1:44" ht="15" thickBot="1" x14ac:dyDescent="0.4">
      <c r="A47" s="35"/>
      <c r="B47" s="56"/>
      <c r="C47" s="27" t="s">
        <v>14</v>
      </c>
      <c r="D47" s="11"/>
      <c r="E47" s="11"/>
      <c r="F47" s="25"/>
      <c r="G47" s="3"/>
      <c r="H47" s="5"/>
      <c r="I47" s="3"/>
      <c r="J47" s="5"/>
      <c r="K47" s="3"/>
      <c r="L47" s="5"/>
      <c r="M47" s="3"/>
      <c r="N47" s="5"/>
      <c r="O47" s="3"/>
      <c r="P47" s="5"/>
      <c r="Q47" s="3"/>
      <c r="R47" s="4"/>
      <c r="S47" s="3"/>
      <c r="U47" s="4"/>
      <c r="V47" s="4"/>
    </row>
    <row r="48" spans="1:44" x14ac:dyDescent="0.35">
      <c r="A48" s="35"/>
      <c r="B48" s="4"/>
      <c r="C48" s="4"/>
      <c r="D48" s="4"/>
      <c r="E48" s="4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4"/>
      <c r="S48" s="5"/>
      <c r="U48" s="4"/>
      <c r="V48" s="4"/>
    </row>
  </sheetData>
  <mergeCells count="35">
    <mergeCell ref="S1:S4"/>
    <mergeCell ref="V1:V4"/>
    <mergeCell ref="U1:U4"/>
    <mergeCell ref="B46:B47"/>
    <mergeCell ref="B10:B11"/>
    <mergeCell ref="B19:B20"/>
    <mergeCell ref="B26:B27"/>
    <mergeCell ref="B33:B34"/>
    <mergeCell ref="B40:B41"/>
    <mergeCell ref="O1:O4"/>
    <mergeCell ref="R1:R4"/>
    <mergeCell ref="Q1:Q4"/>
    <mergeCell ref="P1:P4"/>
    <mergeCell ref="I1:I4"/>
    <mergeCell ref="B1:B4"/>
    <mergeCell ref="C1:C4"/>
    <mergeCell ref="N1:N4"/>
    <mergeCell ref="M1:M4"/>
    <mergeCell ref="J1:J4"/>
    <mergeCell ref="L1:L4"/>
    <mergeCell ref="K1:K4"/>
    <mergeCell ref="A46:A48"/>
    <mergeCell ref="D1:D2"/>
    <mergeCell ref="E1:E2"/>
    <mergeCell ref="H1:H2"/>
    <mergeCell ref="D3:D4"/>
    <mergeCell ref="E3:E4"/>
    <mergeCell ref="A19:A21"/>
    <mergeCell ref="A40:A42"/>
    <mergeCell ref="A33:A35"/>
    <mergeCell ref="A26:A28"/>
    <mergeCell ref="A10:A12"/>
    <mergeCell ref="G1:G4"/>
    <mergeCell ref="F1:F4"/>
    <mergeCell ref="A1:A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24D1C-F298-404F-B3E5-6EC686FCD2DB}">
  <sheetPr codeName="Sheet2"/>
  <dimension ref="A1:AR48"/>
  <sheetViews>
    <sheetView zoomScale="115" zoomScaleNormal="115" workbookViewId="0">
      <pane ySplit="4" topLeftCell="A5" activePane="bottomLeft" state="frozen"/>
      <selection pane="bottomLeft" activeCell="P6" sqref="P6:P9"/>
    </sheetView>
  </sheetViews>
  <sheetFormatPr defaultRowHeight="14.5" x14ac:dyDescent="0.35"/>
  <cols>
    <col min="1" max="1" width="10.26953125" bestFit="1" customWidth="1"/>
    <col min="6" max="6" width="12.26953125" style="1" bestFit="1" customWidth="1"/>
    <col min="7" max="7" width="9.7265625" style="1" bestFit="1" customWidth="1"/>
    <col min="8" max="9" width="9.7265625" style="1" customWidth="1"/>
    <col min="10" max="10" width="11.26953125" style="1" bestFit="1" customWidth="1"/>
    <col min="11" max="13" width="9.7265625" style="1" customWidth="1"/>
    <col min="14" max="15" width="9.26953125" style="1"/>
    <col min="16" max="16" width="11.7265625" style="1" bestFit="1" customWidth="1"/>
    <col min="17" max="17" width="9.26953125" style="1"/>
    <col min="18" max="18" width="9.54296875" customWidth="1"/>
    <col min="19" max="19" width="9.26953125" style="1"/>
    <col min="20" max="20" width="4.1796875" style="4" customWidth="1"/>
    <col min="22" max="22" width="9.26953125" customWidth="1"/>
    <col min="24" max="24" width="0" hidden="1" customWidth="1"/>
    <col min="25" max="44" width="9.26953125" hidden="1" customWidth="1"/>
    <col min="45" max="45" width="9.26953125" customWidth="1"/>
  </cols>
  <sheetData>
    <row r="1" spans="1:44" ht="14.65" customHeight="1" x14ac:dyDescent="0.35">
      <c r="A1" s="36" t="s">
        <v>0</v>
      </c>
      <c r="B1" s="36" t="s">
        <v>1</v>
      </c>
      <c r="C1" s="36" t="s">
        <v>2</v>
      </c>
      <c r="D1" s="36" t="s">
        <v>3</v>
      </c>
      <c r="E1" s="36" t="s">
        <v>3</v>
      </c>
      <c r="F1" s="43" t="s">
        <v>4</v>
      </c>
      <c r="G1" s="40" t="s">
        <v>26</v>
      </c>
      <c r="H1" s="36" t="s">
        <v>4</v>
      </c>
      <c r="I1" s="40" t="s">
        <v>26</v>
      </c>
      <c r="J1" s="46" t="s">
        <v>31</v>
      </c>
      <c r="K1" s="49" t="s">
        <v>27</v>
      </c>
      <c r="L1" s="46" t="s">
        <v>30</v>
      </c>
      <c r="M1" s="49" t="s">
        <v>27</v>
      </c>
      <c r="N1" s="46" t="s">
        <v>29</v>
      </c>
      <c r="O1" s="49" t="s">
        <v>27</v>
      </c>
      <c r="P1" s="46" t="s">
        <v>28</v>
      </c>
      <c r="Q1" s="49" t="s">
        <v>27</v>
      </c>
      <c r="R1" s="57" t="s">
        <v>63</v>
      </c>
      <c r="S1" s="49" t="s">
        <v>27</v>
      </c>
      <c r="T1" s="32"/>
      <c r="U1" s="52" t="s">
        <v>32</v>
      </c>
      <c r="V1" s="52" t="s">
        <v>33</v>
      </c>
      <c r="Y1" s="13" t="s">
        <v>12</v>
      </c>
      <c r="Z1" t="s">
        <v>45</v>
      </c>
      <c r="AA1" t="s">
        <v>34</v>
      </c>
      <c r="AB1" t="s">
        <v>35</v>
      </c>
      <c r="AC1" t="s">
        <v>44</v>
      </c>
      <c r="AD1" t="s">
        <v>36</v>
      </c>
      <c r="AE1" t="s">
        <v>37</v>
      </c>
      <c r="AF1" t="s">
        <v>38</v>
      </c>
      <c r="AG1" t="s">
        <v>39</v>
      </c>
      <c r="AH1" t="s">
        <v>40</v>
      </c>
      <c r="AI1" t="s">
        <v>41</v>
      </c>
      <c r="AJ1" t="s">
        <v>62</v>
      </c>
      <c r="AK1" t="s">
        <v>61</v>
      </c>
      <c r="AL1" t="s">
        <v>42</v>
      </c>
      <c r="AM1" t="s">
        <v>43</v>
      </c>
      <c r="AN1" s="15" t="str">
        <f>J1</f>
        <v>TEMPERED GLASS</v>
      </c>
      <c r="AO1" s="15" t="str">
        <f>L1</f>
        <v>OBSCURE GLASS</v>
      </c>
      <c r="AP1" s="15" t="str">
        <f>N1</f>
        <v>INTERNAL GRIDS</v>
      </c>
      <c r="AQ1" s="15" t="str">
        <f>P1</f>
        <v>SIMULATED DIVIDED LIGHT</v>
      </c>
      <c r="AR1" s="15" t="str">
        <f>R1</f>
        <v>INTERNAL BLINDS</v>
      </c>
    </row>
    <row r="2" spans="1:44" x14ac:dyDescent="0.35">
      <c r="A2" s="37"/>
      <c r="B2" s="37"/>
      <c r="C2" s="37"/>
      <c r="D2" s="37"/>
      <c r="E2" s="37"/>
      <c r="F2" s="44"/>
      <c r="G2" s="41"/>
      <c r="H2" s="37"/>
      <c r="I2" s="41"/>
      <c r="J2" s="47"/>
      <c r="K2" s="50"/>
      <c r="L2" s="47"/>
      <c r="M2" s="50"/>
      <c r="N2" s="47"/>
      <c r="O2" s="50"/>
      <c r="P2" s="47"/>
      <c r="Q2" s="50"/>
      <c r="R2" s="58"/>
      <c r="S2" s="50"/>
      <c r="T2" s="32"/>
      <c r="U2" s="53"/>
      <c r="V2" s="53"/>
      <c r="Y2" s="13"/>
      <c r="Z2" s="13" t="s">
        <v>51</v>
      </c>
      <c r="AA2" s="13" t="str">
        <f>B6</f>
        <v>Provia</v>
      </c>
      <c r="AB2" s="13" t="str">
        <f>C6</f>
        <v>Endure</v>
      </c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</row>
    <row r="3" spans="1:44" x14ac:dyDescent="0.35">
      <c r="A3" s="37"/>
      <c r="B3" s="37"/>
      <c r="C3" s="37"/>
      <c r="D3" s="37" t="s">
        <v>5</v>
      </c>
      <c r="E3" s="37" t="s">
        <v>6</v>
      </c>
      <c r="F3" s="44"/>
      <c r="G3" s="41"/>
      <c r="H3" s="9" t="s">
        <v>7</v>
      </c>
      <c r="I3" s="41"/>
      <c r="J3" s="47"/>
      <c r="K3" s="50"/>
      <c r="L3" s="47"/>
      <c r="M3" s="50"/>
      <c r="N3" s="47"/>
      <c r="O3" s="50"/>
      <c r="P3" s="47"/>
      <c r="Q3" s="50"/>
      <c r="R3" s="58"/>
      <c r="S3" s="50"/>
      <c r="T3" s="32"/>
      <c r="U3" s="53"/>
      <c r="V3" s="53"/>
    </row>
    <row r="4" spans="1:44" ht="15" thickBot="1" x14ac:dyDescent="0.4">
      <c r="A4" s="38"/>
      <c r="B4" s="38"/>
      <c r="C4" s="38"/>
      <c r="D4" s="38"/>
      <c r="E4" s="38"/>
      <c r="F4" s="45"/>
      <c r="G4" s="42"/>
      <c r="H4" s="10" t="s">
        <v>8</v>
      </c>
      <c r="I4" s="42"/>
      <c r="J4" s="48"/>
      <c r="K4" s="51"/>
      <c r="L4" s="48"/>
      <c r="M4" s="51"/>
      <c r="N4" s="48"/>
      <c r="O4" s="51"/>
      <c r="P4" s="48"/>
      <c r="Q4" s="51"/>
      <c r="R4" s="59"/>
      <c r="S4" s="51"/>
      <c r="T4" s="32"/>
      <c r="U4" s="54"/>
      <c r="V4" s="54"/>
    </row>
    <row r="5" spans="1:44" x14ac:dyDescent="0.35">
      <c r="AC5" t="str">
        <f>A10</f>
        <v>DH</v>
      </c>
      <c r="AF5" s="14">
        <f>D10</f>
        <v>15</v>
      </c>
      <c r="AG5" s="14">
        <f>D11</f>
        <v>58</v>
      </c>
      <c r="AH5" s="14">
        <f>E10</f>
        <v>19.75</v>
      </c>
      <c r="AI5" s="14">
        <f>E11</f>
        <v>96</v>
      </c>
      <c r="AJ5" s="14">
        <f>F11</f>
        <v>144</v>
      </c>
      <c r="AK5" s="15">
        <f>G11</f>
        <v>3</v>
      </c>
      <c r="AN5" s="15">
        <f>K11</f>
        <v>0.06</v>
      </c>
      <c r="AO5" s="15">
        <f>M11</f>
        <v>0.02</v>
      </c>
      <c r="AP5" s="15">
        <f>O11</f>
        <v>0.03</v>
      </c>
      <c r="AQ5" s="15">
        <f>Q11</f>
        <v>0</v>
      </c>
      <c r="AR5" s="15">
        <f>S11</f>
        <v>0</v>
      </c>
    </row>
    <row r="6" spans="1:44" x14ac:dyDescent="0.35">
      <c r="B6" t="s">
        <v>9</v>
      </c>
      <c r="C6" t="s">
        <v>21</v>
      </c>
      <c r="D6">
        <v>36</v>
      </c>
      <c r="E6">
        <v>36</v>
      </c>
      <c r="F6" s="1">
        <v>220</v>
      </c>
      <c r="G6" s="1">
        <f>F6/($D6+$E6)</f>
        <v>3.0555555555555554</v>
      </c>
      <c r="H6" s="1">
        <v>352</v>
      </c>
      <c r="I6" s="1">
        <f>(H6-$F6)/($D6+$E6)</f>
        <v>1.8333333333333333</v>
      </c>
      <c r="J6" s="1">
        <v>298</v>
      </c>
      <c r="K6" s="1">
        <f>(J6-$F6)/($D6*$E6)</f>
        <v>6.0185185185185182E-2</v>
      </c>
      <c r="L6" s="1">
        <v>28</v>
      </c>
      <c r="M6" s="1">
        <f>L6/($D6*$E6)</f>
        <v>2.1604938271604937E-2</v>
      </c>
      <c r="N6" s="1">
        <v>239</v>
      </c>
      <c r="O6" s="1">
        <f>(N6-$F6)/($D6*$E6)</f>
        <v>1.4660493827160493E-2</v>
      </c>
      <c r="P6" s="1">
        <v>463</v>
      </c>
      <c r="Q6" s="1">
        <f>(P6-$F6)/($D6*$E6)</f>
        <v>0.1875</v>
      </c>
      <c r="S6" s="1">
        <f>(R6-$F6)/($D6+$E6)</f>
        <v>-3.0555555555555554</v>
      </c>
      <c r="U6">
        <v>2.5</v>
      </c>
      <c r="V6">
        <v>3</v>
      </c>
      <c r="AD6">
        <f t="shared" ref="AD6:AE9" si="0">D6</f>
        <v>36</v>
      </c>
      <c r="AE6">
        <f t="shared" si="0"/>
        <v>36</v>
      </c>
      <c r="AK6" s="15">
        <f>G6</f>
        <v>3.0555555555555554</v>
      </c>
      <c r="AL6">
        <f t="shared" ref="AL6:AM9" si="1">U6</f>
        <v>2.5</v>
      </c>
      <c r="AM6">
        <f t="shared" si="1"/>
        <v>3</v>
      </c>
      <c r="AN6" s="15">
        <f>K6</f>
        <v>6.0185185185185182E-2</v>
      </c>
      <c r="AO6" s="15">
        <f>M6</f>
        <v>2.1604938271604937E-2</v>
      </c>
      <c r="AP6" s="15">
        <f>O6</f>
        <v>1.4660493827160493E-2</v>
      </c>
      <c r="AQ6" s="15">
        <f>Q6</f>
        <v>0.1875</v>
      </c>
      <c r="AR6" s="15">
        <f>S6</f>
        <v>-3.0555555555555554</v>
      </c>
    </row>
    <row r="7" spans="1:44" x14ac:dyDescent="0.35">
      <c r="B7" t="s">
        <v>22</v>
      </c>
      <c r="D7">
        <v>36</v>
      </c>
      <c r="E7">
        <v>60</v>
      </c>
      <c r="F7" s="1">
        <v>267</v>
      </c>
      <c r="G7" s="1">
        <f t="shared" ref="G7:G9" si="2">F7/($D7+$E7)</f>
        <v>2.78125</v>
      </c>
      <c r="H7" s="1">
        <v>425</v>
      </c>
      <c r="I7" s="1">
        <f t="shared" ref="I7:I15" si="3">(H7-$F7)/($D7+$E7)</f>
        <v>1.6458333333333333</v>
      </c>
      <c r="J7" s="1">
        <v>399</v>
      </c>
      <c r="K7" s="1">
        <f t="shared" ref="K7:K45" si="4">(J7-$F7)/($D7*$E7)</f>
        <v>6.1111111111111109E-2</v>
      </c>
      <c r="L7" s="1">
        <v>45</v>
      </c>
      <c r="M7" s="1">
        <f t="shared" ref="M7:M9" si="5">L7/($D7*$E7)</f>
        <v>2.0833333333333332E-2</v>
      </c>
      <c r="N7" s="1">
        <v>300</v>
      </c>
      <c r="O7" s="1">
        <f t="shared" ref="O7:Q32" si="6">(N7-$F7)/($D7*$E7)</f>
        <v>1.5277777777777777E-2</v>
      </c>
      <c r="P7" s="1">
        <v>570</v>
      </c>
      <c r="Q7" s="1">
        <f t="shared" si="6"/>
        <v>0.14027777777777778</v>
      </c>
      <c r="S7" s="1">
        <f t="shared" ref="S7:S18" si="7">(R7-$F7)/($D7+$E7)</f>
        <v>-2.78125</v>
      </c>
      <c r="U7">
        <v>2.5</v>
      </c>
      <c r="V7">
        <v>3</v>
      </c>
      <c r="AD7">
        <f t="shared" si="0"/>
        <v>36</v>
      </c>
      <c r="AE7">
        <f t="shared" si="0"/>
        <v>60</v>
      </c>
      <c r="AK7" s="15">
        <f>G7</f>
        <v>2.78125</v>
      </c>
      <c r="AL7">
        <f t="shared" si="1"/>
        <v>2.5</v>
      </c>
      <c r="AM7">
        <f t="shared" si="1"/>
        <v>3</v>
      </c>
      <c r="AN7" s="15">
        <f>K7</f>
        <v>6.1111111111111109E-2</v>
      </c>
      <c r="AO7" s="15">
        <f>M7</f>
        <v>2.0833333333333332E-2</v>
      </c>
      <c r="AP7" s="15">
        <f>O7</f>
        <v>1.5277777777777777E-2</v>
      </c>
      <c r="AQ7" s="15">
        <f>Q7</f>
        <v>0.14027777777777778</v>
      </c>
      <c r="AR7" s="15">
        <f>S7</f>
        <v>-2.78125</v>
      </c>
    </row>
    <row r="8" spans="1:44" x14ac:dyDescent="0.35">
      <c r="D8">
        <v>36</v>
      </c>
      <c r="E8">
        <v>72</v>
      </c>
      <c r="F8" s="1">
        <v>317</v>
      </c>
      <c r="G8" s="1">
        <f t="shared" si="2"/>
        <v>2.9351851851851851</v>
      </c>
      <c r="H8" s="1">
        <v>488</v>
      </c>
      <c r="I8" s="1">
        <f t="shared" si="3"/>
        <v>1.5833333333333333</v>
      </c>
      <c r="J8" s="1">
        <v>450</v>
      </c>
      <c r="K8" s="1">
        <f t="shared" si="4"/>
        <v>5.1311728395061727E-2</v>
      </c>
      <c r="L8" s="1">
        <v>46</v>
      </c>
      <c r="M8" s="1">
        <f t="shared" si="5"/>
        <v>1.7746913580246913E-2</v>
      </c>
      <c r="N8" s="1">
        <v>350</v>
      </c>
      <c r="O8" s="1">
        <f t="shared" si="6"/>
        <v>1.2731481481481481E-2</v>
      </c>
      <c r="P8" s="1">
        <v>620</v>
      </c>
      <c r="Q8" s="1">
        <f t="shared" si="6"/>
        <v>0.11689814814814815</v>
      </c>
      <c r="S8" s="1">
        <f t="shared" si="7"/>
        <v>-2.9351851851851851</v>
      </c>
      <c r="U8">
        <v>2.5</v>
      </c>
      <c r="V8">
        <v>3</v>
      </c>
      <c r="AD8">
        <f t="shared" si="0"/>
        <v>36</v>
      </c>
      <c r="AE8">
        <f t="shared" si="0"/>
        <v>72</v>
      </c>
      <c r="AK8" s="15">
        <f>G8</f>
        <v>2.9351851851851851</v>
      </c>
      <c r="AL8">
        <f t="shared" si="1"/>
        <v>2.5</v>
      </c>
      <c r="AM8">
        <f t="shared" si="1"/>
        <v>3</v>
      </c>
      <c r="AN8" s="15">
        <f>K8</f>
        <v>5.1311728395061727E-2</v>
      </c>
      <c r="AO8" s="15">
        <f>M8</f>
        <v>1.7746913580246913E-2</v>
      </c>
      <c r="AP8" s="15">
        <f>O8</f>
        <v>1.2731481481481481E-2</v>
      </c>
      <c r="AQ8" s="15">
        <f>Q8</f>
        <v>0.11689814814814815</v>
      </c>
      <c r="AR8" s="15">
        <f>S8</f>
        <v>-2.9351851851851851</v>
      </c>
    </row>
    <row r="9" spans="1:44" ht="15" thickBot="1" x14ac:dyDescent="0.4">
      <c r="D9">
        <v>42</v>
      </c>
      <c r="E9">
        <v>79</v>
      </c>
      <c r="F9" s="1">
        <v>317</v>
      </c>
      <c r="G9" s="1">
        <f t="shared" si="2"/>
        <v>2.6198347107438016</v>
      </c>
      <c r="I9" s="1">
        <f t="shared" si="3"/>
        <v>-2.6198347107438016</v>
      </c>
      <c r="K9" s="1">
        <f t="shared" si="4"/>
        <v>-9.5539481615430979E-2</v>
      </c>
      <c r="M9" s="1">
        <f t="shared" si="5"/>
        <v>0</v>
      </c>
      <c r="O9" s="1">
        <f t="shared" si="6"/>
        <v>-9.5539481615430979E-2</v>
      </c>
      <c r="Q9" s="1">
        <f t="shared" si="6"/>
        <v>-9.5539481615430979E-2</v>
      </c>
      <c r="S9" s="1">
        <f t="shared" si="7"/>
        <v>-2.6198347107438016</v>
      </c>
      <c r="U9">
        <v>2.5</v>
      </c>
      <c r="V9">
        <v>3</v>
      </c>
      <c r="AD9">
        <f t="shared" si="0"/>
        <v>42</v>
      </c>
      <c r="AE9">
        <f t="shared" si="0"/>
        <v>79</v>
      </c>
      <c r="AK9" s="15">
        <f>G9</f>
        <v>2.6198347107438016</v>
      </c>
      <c r="AL9">
        <f t="shared" si="1"/>
        <v>2.5</v>
      </c>
      <c r="AM9">
        <f t="shared" si="1"/>
        <v>3</v>
      </c>
      <c r="AN9" s="15">
        <f>K9</f>
        <v>-9.5539481615430979E-2</v>
      </c>
      <c r="AO9" s="15">
        <f>M9</f>
        <v>0</v>
      </c>
      <c r="AP9" s="15">
        <f>O9</f>
        <v>-9.5539481615430979E-2</v>
      </c>
      <c r="AQ9" s="15">
        <f>Q9</f>
        <v>-9.5539481615430979E-2</v>
      </c>
      <c r="AR9" s="15">
        <f>S9</f>
        <v>-2.6198347107438016</v>
      </c>
    </row>
    <row r="10" spans="1:44" ht="15" thickBot="1" x14ac:dyDescent="0.4">
      <c r="A10" s="60" t="s">
        <v>11</v>
      </c>
      <c r="B10" s="55" t="s">
        <v>12</v>
      </c>
      <c r="C10" s="27" t="s">
        <v>13</v>
      </c>
      <c r="D10" s="11">
        <v>15</v>
      </c>
      <c r="E10" s="11">
        <v>19.75</v>
      </c>
      <c r="F10" s="28" t="s">
        <v>60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4"/>
      <c r="S10" s="5"/>
      <c r="U10" s="4"/>
      <c r="V10" s="4"/>
    </row>
    <row r="11" spans="1:44" ht="15" thickBot="1" x14ac:dyDescent="0.4">
      <c r="A11" s="60"/>
      <c r="B11" s="56"/>
      <c r="C11" s="27" t="s">
        <v>14</v>
      </c>
      <c r="D11" s="11">
        <v>58</v>
      </c>
      <c r="E11" s="11">
        <v>96</v>
      </c>
      <c r="F11" s="25">
        <v>144</v>
      </c>
      <c r="G11" s="3">
        <v>3</v>
      </c>
      <c r="H11" s="5"/>
      <c r="I11" s="3"/>
      <c r="J11" s="5"/>
      <c r="K11" s="3">
        <v>0.06</v>
      </c>
      <c r="L11" s="5"/>
      <c r="M11" s="3">
        <v>0.02</v>
      </c>
      <c r="N11" s="5"/>
      <c r="O11" s="3">
        <v>0.03</v>
      </c>
      <c r="P11" s="5"/>
      <c r="Q11" s="3"/>
      <c r="R11" s="4"/>
      <c r="S11" s="3"/>
      <c r="U11" s="4"/>
      <c r="V11" s="4"/>
    </row>
    <row r="12" spans="1:44" x14ac:dyDescent="0.35">
      <c r="A12" s="60"/>
      <c r="B12" s="4"/>
      <c r="C12" s="4"/>
      <c r="D12" s="4"/>
      <c r="E12" s="4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4"/>
      <c r="S12" s="5"/>
      <c r="U12" s="4"/>
      <c r="V12" s="4"/>
      <c r="AC12" t="str">
        <f>A19</f>
        <v>2LS</v>
      </c>
      <c r="AF12" s="14">
        <f>D19</f>
        <v>22.25</v>
      </c>
      <c r="AG12" s="14">
        <f>D20</f>
        <v>89.5</v>
      </c>
      <c r="AH12" s="14">
        <f>E19</f>
        <v>15.375</v>
      </c>
      <c r="AI12" s="14">
        <f>E20</f>
        <v>70</v>
      </c>
      <c r="AJ12" s="14">
        <f>F20</f>
        <v>140</v>
      </c>
      <c r="AK12" s="15">
        <f>G20</f>
        <v>3.05</v>
      </c>
      <c r="AN12" s="15">
        <f>K20</f>
        <v>0.08</v>
      </c>
      <c r="AO12" s="15">
        <f>M20</f>
        <v>0.04</v>
      </c>
      <c r="AP12" s="15">
        <f>O20</f>
        <v>0.03</v>
      </c>
      <c r="AQ12" s="15">
        <f>Q20</f>
        <v>0</v>
      </c>
      <c r="AR12" s="15">
        <f>S20</f>
        <v>0</v>
      </c>
    </row>
    <row r="13" spans="1:44" x14ac:dyDescent="0.35">
      <c r="D13">
        <v>36</v>
      </c>
      <c r="E13">
        <v>36</v>
      </c>
      <c r="F13" s="1">
        <v>212</v>
      </c>
      <c r="G13" s="1">
        <f t="shared" ref="G13:G45" si="8">F13/($D13+$E13)</f>
        <v>2.9444444444444446</v>
      </c>
      <c r="H13" s="1">
        <v>345</v>
      </c>
      <c r="I13" s="1">
        <f t="shared" si="3"/>
        <v>1.8472222222222223</v>
      </c>
      <c r="J13" s="1">
        <v>290</v>
      </c>
      <c r="K13" s="1">
        <f t="shared" si="4"/>
        <v>6.0185185185185182E-2</v>
      </c>
      <c r="L13" s="1">
        <v>28</v>
      </c>
      <c r="M13" s="1">
        <f t="shared" ref="M13:M45" si="9">L13/($D13*$E13)</f>
        <v>2.1604938271604937E-2</v>
      </c>
      <c r="N13" s="1">
        <v>232</v>
      </c>
      <c r="O13" s="1">
        <f t="shared" si="6"/>
        <v>1.5432098765432098E-2</v>
      </c>
      <c r="P13" s="1">
        <v>484</v>
      </c>
      <c r="Q13" s="1">
        <f t="shared" si="6"/>
        <v>0.20987654320987653</v>
      </c>
      <c r="S13" s="1">
        <f t="shared" si="7"/>
        <v>-2.9444444444444446</v>
      </c>
      <c r="U13">
        <v>2.5</v>
      </c>
      <c r="V13">
        <v>3</v>
      </c>
      <c r="AD13">
        <f t="shared" ref="AD13:AE18" si="10">D13</f>
        <v>36</v>
      </c>
      <c r="AE13">
        <f t="shared" si="10"/>
        <v>36</v>
      </c>
      <c r="AK13" s="15">
        <f t="shared" ref="AK13:AK18" si="11">G13</f>
        <v>2.9444444444444446</v>
      </c>
      <c r="AL13">
        <f t="shared" ref="AL13:AM18" si="12">U13</f>
        <v>2.5</v>
      </c>
      <c r="AM13">
        <f t="shared" si="12"/>
        <v>3</v>
      </c>
      <c r="AN13" s="15">
        <f t="shared" ref="AN13:AN18" si="13">K20</f>
        <v>0.08</v>
      </c>
      <c r="AO13" s="15">
        <f t="shared" ref="AO13:AO18" si="14">M20</f>
        <v>0.04</v>
      </c>
      <c r="AP13" s="15">
        <f t="shared" ref="AP13:AP18" si="15">O20</f>
        <v>0.03</v>
      </c>
      <c r="AQ13" s="15">
        <f t="shared" ref="AQ13:AQ18" si="16">Q13</f>
        <v>0.20987654320987653</v>
      </c>
      <c r="AR13" s="15">
        <f t="shared" ref="AR13:AR18" si="17">S13</f>
        <v>-2.9444444444444446</v>
      </c>
    </row>
    <row r="14" spans="1:44" x14ac:dyDescent="0.35">
      <c r="D14">
        <v>48</v>
      </c>
      <c r="E14">
        <v>36</v>
      </c>
      <c r="F14" s="1">
        <v>261</v>
      </c>
      <c r="G14" s="1">
        <f t="shared" si="8"/>
        <v>3.1071428571428572</v>
      </c>
      <c r="H14" s="1">
        <v>413</v>
      </c>
      <c r="I14" s="1">
        <f t="shared" si="3"/>
        <v>1.8095238095238095</v>
      </c>
      <c r="J14" s="1">
        <v>394</v>
      </c>
      <c r="K14" s="1">
        <f t="shared" si="4"/>
        <v>7.6967592592592587E-2</v>
      </c>
      <c r="M14" s="1">
        <f t="shared" si="9"/>
        <v>0</v>
      </c>
      <c r="N14" s="1">
        <v>310</v>
      </c>
      <c r="O14" s="1">
        <f t="shared" si="6"/>
        <v>2.8356481481481483E-2</v>
      </c>
      <c r="P14" s="1">
        <v>737</v>
      </c>
      <c r="Q14" s="1">
        <f t="shared" si="6"/>
        <v>0.27546296296296297</v>
      </c>
      <c r="S14" s="1">
        <f t="shared" si="7"/>
        <v>-3.1071428571428572</v>
      </c>
      <c r="U14">
        <v>2.5</v>
      </c>
      <c r="V14">
        <v>3</v>
      </c>
      <c r="AD14">
        <f t="shared" si="10"/>
        <v>48</v>
      </c>
      <c r="AE14">
        <f t="shared" si="10"/>
        <v>36</v>
      </c>
      <c r="AK14" s="15">
        <f t="shared" si="11"/>
        <v>3.1071428571428572</v>
      </c>
      <c r="AL14">
        <f t="shared" si="12"/>
        <v>2.5</v>
      </c>
      <c r="AM14">
        <f t="shared" si="12"/>
        <v>3</v>
      </c>
      <c r="AN14" s="15">
        <f t="shared" si="13"/>
        <v>0</v>
      </c>
      <c r="AO14" s="15">
        <f t="shared" si="14"/>
        <v>0</v>
      </c>
      <c r="AP14" s="15">
        <f t="shared" si="15"/>
        <v>0</v>
      </c>
      <c r="AQ14" s="15">
        <f t="shared" si="16"/>
        <v>0.27546296296296297</v>
      </c>
      <c r="AR14" s="15">
        <f t="shared" si="17"/>
        <v>-3.1071428571428572</v>
      </c>
    </row>
    <row r="15" spans="1:44" x14ac:dyDescent="0.35">
      <c r="D15">
        <v>60</v>
      </c>
      <c r="E15">
        <v>36</v>
      </c>
      <c r="F15" s="1">
        <v>283</v>
      </c>
      <c r="G15" s="1">
        <f t="shared" si="8"/>
        <v>2.9479166666666665</v>
      </c>
      <c r="H15" s="1">
        <v>455</v>
      </c>
      <c r="I15" s="1">
        <f t="shared" si="3"/>
        <v>1.7916666666666667</v>
      </c>
      <c r="J15" s="1">
        <v>416</v>
      </c>
      <c r="K15" s="1">
        <f t="shared" si="4"/>
        <v>6.1574074074074073E-2</v>
      </c>
      <c r="M15" s="1">
        <f t="shared" si="9"/>
        <v>0</v>
      </c>
      <c r="N15" s="1">
        <v>332</v>
      </c>
      <c r="O15" s="1">
        <f t="shared" si="6"/>
        <v>2.2685185185185187E-2</v>
      </c>
      <c r="P15" s="1">
        <v>759</v>
      </c>
      <c r="Q15" s="1">
        <f t="shared" si="6"/>
        <v>0.22037037037037038</v>
      </c>
      <c r="S15" s="1">
        <f t="shared" si="7"/>
        <v>-2.9479166666666665</v>
      </c>
      <c r="U15">
        <v>2.5</v>
      </c>
      <c r="V15">
        <v>3</v>
      </c>
      <c r="AD15">
        <f t="shared" si="10"/>
        <v>60</v>
      </c>
      <c r="AE15">
        <f t="shared" si="10"/>
        <v>36</v>
      </c>
      <c r="AK15" s="15">
        <f t="shared" si="11"/>
        <v>2.9479166666666665</v>
      </c>
      <c r="AL15">
        <f t="shared" si="12"/>
        <v>2.5</v>
      </c>
      <c r="AM15">
        <f t="shared" si="12"/>
        <v>3</v>
      </c>
      <c r="AN15" s="15">
        <f t="shared" si="13"/>
        <v>7.3688271604938266E-2</v>
      </c>
      <c r="AO15" s="15">
        <f t="shared" si="14"/>
        <v>0.15509259259259259</v>
      </c>
      <c r="AP15" s="15">
        <f t="shared" si="15"/>
        <v>1.1188271604938271E-2</v>
      </c>
      <c r="AQ15" s="15">
        <f t="shared" si="16"/>
        <v>0.22037037037037038</v>
      </c>
      <c r="AR15" s="15">
        <f t="shared" si="17"/>
        <v>-2.9479166666666665</v>
      </c>
    </row>
    <row r="16" spans="1:44" x14ac:dyDescent="0.35">
      <c r="D16">
        <v>72</v>
      </c>
      <c r="E16">
        <v>36</v>
      </c>
      <c r="F16" s="1">
        <v>312</v>
      </c>
      <c r="G16" s="1">
        <f t="shared" si="8"/>
        <v>2.8888888888888888</v>
      </c>
      <c r="J16" s="1">
        <v>445</v>
      </c>
      <c r="K16" s="1">
        <f t="shared" si="4"/>
        <v>5.1311728395061727E-2</v>
      </c>
      <c r="L16" s="1">
        <v>358</v>
      </c>
      <c r="M16" s="1">
        <f t="shared" si="9"/>
        <v>0.13811728395061729</v>
      </c>
      <c r="N16" s="1">
        <v>362</v>
      </c>
      <c r="O16" s="1">
        <f t="shared" si="6"/>
        <v>1.9290123456790122E-2</v>
      </c>
      <c r="Q16" s="1">
        <f t="shared" si="6"/>
        <v>-0.12037037037037036</v>
      </c>
      <c r="S16" s="1">
        <f t="shared" si="7"/>
        <v>-2.8888888888888888</v>
      </c>
      <c r="U16">
        <v>2.5</v>
      </c>
      <c r="V16">
        <v>3</v>
      </c>
      <c r="AD16">
        <f t="shared" si="10"/>
        <v>72</v>
      </c>
      <c r="AE16">
        <f t="shared" si="10"/>
        <v>36</v>
      </c>
      <c r="AK16" s="15">
        <f t="shared" si="11"/>
        <v>2.8888888888888888</v>
      </c>
      <c r="AL16">
        <f t="shared" si="12"/>
        <v>2.5</v>
      </c>
      <c r="AM16">
        <f t="shared" si="12"/>
        <v>3</v>
      </c>
      <c r="AN16" s="15">
        <f t="shared" si="13"/>
        <v>8.2638888888888887E-2</v>
      </c>
      <c r="AO16" s="15">
        <f t="shared" si="14"/>
        <v>0.12268518518518519</v>
      </c>
      <c r="AP16" s="15">
        <f t="shared" si="15"/>
        <v>1.712962962962963E-2</v>
      </c>
      <c r="AQ16" s="15">
        <f t="shared" si="16"/>
        <v>-0.12037037037037036</v>
      </c>
      <c r="AR16" s="15">
        <f t="shared" si="17"/>
        <v>-2.8888888888888888</v>
      </c>
    </row>
    <row r="17" spans="1:44" x14ac:dyDescent="0.35">
      <c r="D17">
        <v>60</v>
      </c>
      <c r="E17">
        <v>60</v>
      </c>
      <c r="F17" s="1">
        <v>363</v>
      </c>
      <c r="G17" s="1">
        <f t="shared" si="8"/>
        <v>3.0249999999999999</v>
      </c>
      <c r="J17" s="1">
        <v>496</v>
      </c>
      <c r="K17" s="1">
        <f t="shared" si="4"/>
        <v>3.6944444444444446E-2</v>
      </c>
      <c r="L17" s="1">
        <v>409</v>
      </c>
      <c r="M17" s="1">
        <f t="shared" si="9"/>
        <v>0.11361111111111111</v>
      </c>
      <c r="N17" s="1">
        <v>413</v>
      </c>
      <c r="O17" s="1">
        <f t="shared" si="6"/>
        <v>1.3888888888888888E-2</v>
      </c>
      <c r="Q17" s="1">
        <f t="shared" si="6"/>
        <v>-0.10083333333333333</v>
      </c>
      <c r="S17" s="1">
        <f t="shared" si="7"/>
        <v>-3.0249999999999999</v>
      </c>
      <c r="U17">
        <v>2.5</v>
      </c>
      <c r="V17">
        <v>3</v>
      </c>
      <c r="AD17">
        <f t="shared" si="10"/>
        <v>60</v>
      </c>
      <c r="AE17">
        <f t="shared" si="10"/>
        <v>60</v>
      </c>
      <c r="AK17" s="15">
        <f t="shared" si="11"/>
        <v>3.0249999999999999</v>
      </c>
      <c r="AL17">
        <f t="shared" si="12"/>
        <v>2.5</v>
      </c>
      <c r="AM17">
        <f t="shared" si="12"/>
        <v>3</v>
      </c>
      <c r="AN17" s="15">
        <f t="shared" si="13"/>
        <v>6.1979166666666669E-2</v>
      </c>
      <c r="AO17" s="15">
        <f t="shared" si="14"/>
        <v>0.10312499999999999</v>
      </c>
      <c r="AP17" s="15">
        <f t="shared" si="15"/>
        <v>1.2847222222222222E-2</v>
      </c>
      <c r="AQ17" s="15">
        <f t="shared" si="16"/>
        <v>-0.10083333333333333</v>
      </c>
      <c r="AR17" s="15">
        <f t="shared" si="17"/>
        <v>-3.0249999999999999</v>
      </c>
    </row>
    <row r="18" spans="1:44" ht="15" thickBot="1" x14ac:dyDescent="0.4">
      <c r="D18">
        <v>70</v>
      </c>
      <c r="E18">
        <v>69</v>
      </c>
      <c r="F18" s="1">
        <v>418</v>
      </c>
      <c r="G18" s="1">
        <f t="shared" si="8"/>
        <v>3.0071942446043165</v>
      </c>
      <c r="J18" s="1">
        <v>768</v>
      </c>
      <c r="K18" s="1">
        <f t="shared" si="4"/>
        <v>7.2463768115942032E-2</v>
      </c>
      <c r="L18" s="1">
        <v>460</v>
      </c>
      <c r="M18" s="1">
        <f t="shared" si="9"/>
        <v>9.5238095238095233E-2</v>
      </c>
      <c r="N18" s="1">
        <v>464</v>
      </c>
      <c r="O18" s="1">
        <f t="shared" si="6"/>
        <v>9.5238095238095247E-3</v>
      </c>
      <c r="Q18" s="1">
        <f t="shared" si="6"/>
        <v>-8.6542443064182198E-2</v>
      </c>
      <c r="S18" s="1">
        <f t="shared" si="7"/>
        <v>-3.0071942446043165</v>
      </c>
      <c r="U18">
        <v>2.5</v>
      </c>
      <c r="V18">
        <v>3</v>
      </c>
      <c r="AD18">
        <f t="shared" si="10"/>
        <v>70</v>
      </c>
      <c r="AE18">
        <f t="shared" si="10"/>
        <v>69</v>
      </c>
      <c r="AK18" s="15">
        <f t="shared" si="11"/>
        <v>3.0071942446043165</v>
      </c>
      <c r="AL18">
        <f t="shared" si="12"/>
        <v>2.5</v>
      </c>
      <c r="AM18">
        <f t="shared" si="12"/>
        <v>3</v>
      </c>
      <c r="AN18" s="15">
        <f t="shared" si="13"/>
        <v>6.9828722002635041E-2</v>
      </c>
      <c r="AO18" s="15">
        <f t="shared" si="14"/>
        <v>0.10092226613965745</v>
      </c>
      <c r="AP18" s="15">
        <f t="shared" si="15"/>
        <v>9.7496706192358364E-3</v>
      </c>
      <c r="AQ18" s="15">
        <f t="shared" si="16"/>
        <v>-8.6542443064182198E-2</v>
      </c>
      <c r="AR18" s="15">
        <f t="shared" si="17"/>
        <v>-3.0071942446043165</v>
      </c>
    </row>
    <row r="19" spans="1:44" ht="15" thickBot="1" x14ac:dyDescent="0.4">
      <c r="A19" s="60" t="s">
        <v>15</v>
      </c>
      <c r="B19" s="55" t="s">
        <v>12</v>
      </c>
      <c r="C19" s="27" t="s">
        <v>13</v>
      </c>
      <c r="D19" s="11">
        <v>22.25</v>
      </c>
      <c r="E19" s="11">
        <v>15.375</v>
      </c>
      <c r="F19" s="28" t="s">
        <v>60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4"/>
      <c r="S19" s="5"/>
      <c r="U19" s="4"/>
      <c r="V19" s="4"/>
    </row>
    <row r="20" spans="1:44" ht="15" thickBot="1" x14ac:dyDescent="0.4">
      <c r="A20" s="60"/>
      <c r="B20" s="56"/>
      <c r="C20" s="27" t="s">
        <v>14</v>
      </c>
      <c r="D20" s="11">
        <v>89.5</v>
      </c>
      <c r="E20" s="11">
        <v>70</v>
      </c>
      <c r="F20" s="25">
        <v>140</v>
      </c>
      <c r="G20" s="3">
        <v>3.05</v>
      </c>
      <c r="H20" s="5"/>
      <c r="I20" s="3"/>
      <c r="J20" s="5"/>
      <c r="K20" s="3">
        <v>0.08</v>
      </c>
      <c r="L20" s="5"/>
      <c r="M20" s="3">
        <v>0.04</v>
      </c>
      <c r="N20" s="5"/>
      <c r="O20" s="3">
        <v>0.03</v>
      </c>
      <c r="P20" s="5"/>
      <c r="Q20" s="3"/>
      <c r="R20" s="4"/>
      <c r="S20" s="3"/>
      <c r="U20" s="4"/>
      <c r="V20" s="4"/>
    </row>
    <row r="21" spans="1:44" x14ac:dyDescent="0.35">
      <c r="A21" s="60"/>
      <c r="B21" s="4"/>
      <c r="C21" s="26"/>
      <c r="D21" s="4"/>
      <c r="E21" s="4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4"/>
      <c r="S21" s="5"/>
      <c r="U21" s="4"/>
      <c r="V21" s="4"/>
      <c r="AC21" t="str">
        <f>A26</f>
        <v>3LS</v>
      </c>
      <c r="AF21" s="14">
        <f>D26</f>
        <v>31</v>
      </c>
      <c r="AG21" s="14">
        <f>D27</f>
        <v>120</v>
      </c>
      <c r="AH21" s="14">
        <f>E26</f>
        <v>15.375</v>
      </c>
      <c r="AI21" s="14">
        <f>E27</f>
        <v>70</v>
      </c>
      <c r="AJ21" s="14">
        <f>F27</f>
        <v>188</v>
      </c>
      <c r="AK21" s="15">
        <f>G27</f>
        <v>3.55</v>
      </c>
      <c r="AN21" s="15">
        <f>K27</f>
        <v>0.08</v>
      </c>
      <c r="AO21" s="15">
        <f>M27</f>
        <v>0.12</v>
      </c>
      <c r="AP21" s="15">
        <f>O27</f>
        <v>0.03</v>
      </c>
      <c r="AQ21" s="15">
        <f>Q27</f>
        <v>0</v>
      </c>
      <c r="AR21" s="15">
        <f>S27</f>
        <v>0</v>
      </c>
    </row>
    <row r="22" spans="1:44" x14ac:dyDescent="0.35">
      <c r="D22">
        <v>72</v>
      </c>
      <c r="E22">
        <v>36</v>
      </c>
      <c r="F22" s="1">
        <v>361</v>
      </c>
      <c r="G22" s="1">
        <f t="shared" si="8"/>
        <v>3.3425925925925926</v>
      </c>
      <c r="J22" s="1">
        <v>552</v>
      </c>
      <c r="K22" s="1">
        <f t="shared" si="4"/>
        <v>7.3688271604938266E-2</v>
      </c>
      <c r="L22" s="1">
        <v>402</v>
      </c>
      <c r="M22" s="1">
        <f t="shared" si="9"/>
        <v>0.15509259259259259</v>
      </c>
      <c r="N22" s="1">
        <v>390</v>
      </c>
      <c r="O22" s="1">
        <f t="shared" si="6"/>
        <v>1.1188271604938271E-2</v>
      </c>
      <c r="Q22" s="1">
        <f t="shared" si="6"/>
        <v>-0.1392746913580247</v>
      </c>
      <c r="S22" s="1">
        <f t="shared" ref="S22:S25" si="18">(R22-$F22)/($D22+$E22)</f>
        <v>-3.3425925925925926</v>
      </c>
      <c r="U22">
        <v>2.5</v>
      </c>
      <c r="V22">
        <v>3</v>
      </c>
      <c r="AD22">
        <f t="shared" ref="AD22:AE25" si="19">D22</f>
        <v>72</v>
      </c>
      <c r="AE22">
        <f t="shared" si="19"/>
        <v>36</v>
      </c>
      <c r="AK22" s="15">
        <f>G22</f>
        <v>3.3425925925925926</v>
      </c>
      <c r="AL22">
        <f t="shared" ref="AL22:AM25" si="20">U22</f>
        <v>2.5</v>
      </c>
      <c r="AM22">
        <f t="shared" si="20"/>
        <v>3</v>
      </c>
      <c r="AN22" s="15">
        <f>K29</f>
        <v>5.5092592592592596E-2</v>
      </c>
      <c r="AO22" s="15">
        <f>M29</f>
        <v>0.10879629629629629</v>
      </c>
      <c r="AP22" s="15">
        <f>O29</f>
        <v>1.4351851851851852E-2</v>
      </c>
      <c r="AQ22" s="15">
        <f>Q22</f>
        <v>-0.1392746913580247</v>
      </c>
      <c r="AR22" s="15">
        <f>S22</f>
        <v>-3.3425925925925926</v>
      </c>
    </row>
    <row r="23" spans="1:44" ht="16.5" customHeight="1" x14ac:dyDescent="0.35">
      <c r="D23">
        <v>72</v>
      </c>
      <c r="E23">
        <v>60</v>
      </c>
      <c r="F23" s="1">
        <v>461</v>
      </c>
      <c r="G23" s="1">
        <f t="shared" si="8"/>
        <v>3.4924242424242422</v>
      </c>
      <c r="J23" s="1">
        <v>818</v>
      </c>
      <c r="K23" s="1">
        <f t="shared" si="4"/>
        <v>8.2638888888888887E-2</v>
      </c>
      <c r="L23" s="1">
        <v>530</v>
      </c>
      <c r="M23" s="1">
        <f t="shared" si="9"/>
        <v>0.12268518518518519</v>
      </c>
      <c r="N23" s="1">
        <v>535</v>
      </c>
      <c r="O23" s="1">
        <f t="shared" si="6"/>
        <v>1.712962962962963E-2</v>
      </c>
      <c r="Q23" s="1">
        <f t="shared" si="6"/>
        <v>-0.10671296296296297</v>
      </c>
      <c r="S23" s="1">
        <f t="shared" si="18"/>
        <v>-3.4924242424242422</v>
      </c>
      <c r="U23">
        <v>2.5</v>
      </c>
      <c r="V23">
        <v>3</v>
      </c>
      <c r="AD23">
        <f t="shared" si="19"/>
        <v>72</v>
      </c>
      <c r="AE23">
        <f t="shared" si="19"/>
        <v>60</v>
      </c>
      <c r="AK23" s="15">
        <f>G23</f>
        <v>3.4924242424242422</v>
      </c>
      <c r="AL23">
        <f t="shared" si="20"/>
        <v>2.5</v>
      </c>
      <c r="AM23">
        <f t="shared" si="20"/>
        <v>3</v>
      </c>
      <c r="AN23" s="15">
        <f>K30</f>
        <v>6.9097222222222227E-2</v>
      </c>
      <c r="AO23" s="15">
        <f>M30</f>
        <v>0.1111111111111111</v>
      </c>
      <c r="AP23" s="15">
        <f>O30</f>
        <v>1.6666666666666666E-2</v>
      </c>
      <c r="AQ23" s="15">
        <f>Q23</f>
        <v>-0.10671296296296297</v>
      </c>
      <c r="AR23" s="15">
        <f>S23</f>
        <v>-3.4924242424242422</v>
      </c>
    </row>
    <row r="24" spans="1:44" x14ac:dyDescent="0.35">
      <c r="D24">
        <v>96</v>
      </c>
      <c r="E24">
        <v>60</v>
      </c>
      <c r="F24" s="1">
        <v>525</v>
      </c>
      <c r="G24" s="1">
        <f t="shared" si="8"/>
        <v>3.3653846153846154</v>
      </c>
      <c r="J24" s="1">
        <v>882</v>
      </c>
      <c r="K24" s="1">
        <f t="shared" si="4"/>
        <v>6.1979166666666669E-2</v>
      </c>
      <c r="L24" s="1">
        <v>594</v>
      </c>
      <c r="M24" s="1">
        <f t="shared" si="9"/>
        <v>0.10312499999999999</v>
      </c>
      <c r="N24" s="1">
        <v>599</v>
      </c>
      <c r="O24" s="1">
        <f t="shared" si="6"/>
        <v>1.2847222222222222E-2</v>
      </c>
      <c r="Q24" s="1">
        <f t="shared" si="6"/>
        <v>-9.1145833333333329E-2</v>
      </c>
      <c r="S24" s="1">
        <f t="shared" si="18"/>
        <v>-3.3653846153846154</v>
      </c>
      <c r="U24">
        <v>3</v>
      </c>
      <c r="V24">
        <v>3.5</v>
      </c>
      <c r="AD24">
        <f t="shared" si="19"/>
        <v>96</v>
      </c>
      <c r="AE24">
        <f t="shared" si="19"/>
        <v>60</v>
      </c>
      <c r="AK24" s="15">
        <f>G24</f>
        <v>3.3653846153846154</v>
      </c>
      <c r="AL24">
        <f t="shared" si="20"/>
        <v>3</v>
      </c>
      <c r="AM24">
        <f t="shared" si="20"/>
        <v>3.5</v>
      </c>
      <c r="AN24" s="15">
        <f>K33</f>
        <v>0</v>
      </c>
      <c r="AO24" s="15">
        <f>M33</f>
        <v>0</v>
      </c>
      <c r="AP24" s="15">
        <f>O33</f>
        <v>0</v>
      </c>
      <c r="AQ24" s="15">
        <f>Q24</f>
        <v>-9.1145833333333329E-2</v>
      </c>
      <c r="AR24" s="15">
        <f>S24</f>
        <v>-3.3653846153846154</v>
      </c>
    </row>
    <row r="25" spans="1:44" ht="15" thickBot="1" x14ac:dyDescent="0.4">
      <c r="D25">
        <v>110</v>
      </c>
      <c r="E25">
        <v>69</v>
      </c>
      <c r="F25" s="1">
        <v>698</v>
      </c>
      <c r="G25" s="1">
        <f t="shared" si="8"/>
        <v>3.8994413407821229</v>
      </c>
      <c r="J25" s="1">
        <v>1228</v>
      </c>
      <c r="K25" s="1">
        <f t="shared" si="4"/>
        <v>6.9828722002635041E-2</v>
      </c>
      <c r="L25" s="1">
        <v>766</v>
      </c>
      <c r="M25" s="1">
        <f t="shared" si="9"/>
        <v>0.10092226613965745</v>
      </c>
      <c r="N25" s="1">
        <v>772</v>
      </c>
      <c r="O25" s="1">
        <f t="shared" si="6"/>
        <v>9.7496706192358364E-3</v>
      </c>
      <c r="Q25" s="1">
        <f t="shared" si="6"/>
        <v>-9.1963109354413708E-2</v>
      </c>
      <c r="S25" s="1">
        <f t="shared" si="18"/>
        <v>-3.8994413407821229</v>
      </c>
      <c r="U25">
        <v>3</v>
      </c>
      <c r="V25">
        <v>3.5</v>
      </c>
      <c r="AD25">
        <f t="shared" si="19"/>
        <v>110</v>
      </c>
      <c r="AE25">
        <f t="shared" si="19"/>
        <v>69</v>
      </c>
      <c r="AK25" s="15">
        <f>G25</f>
        <v>3.8994413407821229</v>
      </c>
      <c r="AL25">
        <f t="shared" si="20"/>
        <v>3</v>
      </c>
      <c r="AM25">
        <f t="shared" si="20"/>
        <v>3.5</v>
      </c>
      <c r="AN25" s="15">
        <f>K34</f>
        <v>0.08</v>
      </c>
      <c r="AO25" s="15">
        <f>M34</f>
        <v>0.12</v>
      </c>
      <c r="AP25" s="15">
        <f>O34</f>
        <v>0.03</v>
      </c>
      <c r="AQ25" s="15">
        <f>Q25</f>
        <v>-9.1963109354413708E-2</v>
      </c>
      <c r="AR25" s="15">
        <f>S25</f>
        <v>-3.8994413407821229</v>
      </c>
    </row>
    <row r="26" spans="1:44" ht="15" thickBot="1" x14ac:dyDescent="0.4">
      <c r="A26" s="60" t="s">
        <v>16</v>
      </c>
      <c r="B26" s="55" t="s">
        <v>12</v>
      </c>
      <c r="C26" s="27" t="s">
        <v>13</v>
      </c>
      <c r="D26" s="11">
        <v>31</v>
      </c>
      <c r="E26" s="11">
        <v>15.375</v>
      </c>
      <c r="F26" s="28" t="s">
        <v>60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4"/>
      <c r="S26" s="5"/>
      <c r="U26" s="4"/>
      <c r="V26" s="4"/>
    </row>
    <row r="27" spans="1:44" ht="15" thickBot="1" x14ac:dyDescent="0.4">
      <c r="A27" s="60"/>
      <c r="B27" s="56"/>
      <c r="C27" s="27" t="s">
        <v>14</v>
      </c>
      <c r="D27" s="11">
        <v>120</v>
      </c>
      <c r="E27" s="11">
        <v>70</v>
      </c>
      <c r="F27" s="25">
        <v>188</v>
      </c>
      <c r="G27" s="3">
        <v>3.55</v>
      </c>
      <c r="H27" s="5"/>
      <c r="I27" s="3"/>
      <c r="J27" s="5"/>
      <c r="K27" s="3">
        <v>0.08</v>
      </c>
      <c r="L27" s="5"/>
      <c r="M27" s="3">
        <v>0.12</v>
      </c>
      <c r="N27" s="5"/>
      <c r="O27" s="3">
        <v>0.03</v>
      </c>
      <c r="P27" s="5"/>
      <c r="Q27" s="3"/>
      <c r="R27" s="4"/>
      <c r="S27" s="3"/>
      <c r="U27" s="4"/>
      <c r="V27" s="4"/>
    </row>
    <row r="28" spans="1:44" x14ac:dyDescent="0.35">
      <c r="A28" s="60"/>
      <c r="B28" s="29"/>
      <c r="C28" s="6"/>
      <c r="D28" s="30"/>
      <c r="E28" s="30"/>
      <c r="F28" s="5"/>
      <c r="G28" s="31"/>
      <c r="H28" s="5"/>
      <c r="I28" s="31"/>
      <c r="J28" s="5"/>
      <c r="K28" s="31"/>
      <c r="L28" s="5"/>
      <c r="M28" s="31"/>
      <c r="N28" s="5"/>
      <c r="O28" s="31"/>
      <c r="P28" s="5"/>
      <c r="Q28" s="31"/>
      <c r="R28" s="4"/>
      <c r="S28" s="31"/>
      <c r="U28" s="4"/>
      <c r="V28" s="4"/>
      <c r="AC28" t="str">
        <f>A33</f>
        <v>PIC</v>
      </c>
      <c r="AF28" s="14">
        <f>D33</f>
        <v>10</v>
      </c>
      <c r="AG28" s="14">
        <f>D34</f>
        <v>120</v>
      </c>
      <c r="AH28" s="14">
        <f>E33</f>
        <v>10</v>
      </c>
      <c r="AI28" s="14">
        <f>E34</f>
        <v>120</v>
      </c>
      <c r="AJ28" s="14">
        <f>F34</f>
        <v>160</v>
      </c>
      <c r="AK28" s="15">
        <f>G34</f>
        <v>3</v>
      </c>
      <c r="AN28" s="15">
        <f>K34</f>
        <v>0.08</v>
      </c>
      <c r="AO28" s="15">
        <f>M34</f>
        <v>0.12</v>
      </c>
      <c r="AP28" s="15">
        <f>O34</f>
        <v>0.03</v>
      </c>
      <c r="AQ28" s="15">
        <f>Q34</f>
        <v>0</v>
      </c>
      <c r="AR28" s="15">
        <f>S34</f>
        <v>0</v>
      </c>
    </row>
    <row r="29" spans="1:44" x14ac:dyDescent="0.35">
      <c r="D29">
        <v>36</v>
      </c>
      <c r="E29">
        <v>60</v>
      </c>
      <c r="F29" s="1">
        <v>212</v>
      </c>
      <c r="G29" s="1">
        <f t="shared" si="8"/>
        <v>2.2083333333333335</v>
      </c>
      <c r="J29" s="1">
        <v>331</v>
      </c>
      <c r="K29" s="1">
        <f t="shared" si="4"/>
        <v>5.5092592592592596E-2</v>
      </c>
      <c r="L29" s="1">
        <v>235</v>
      </c>
      <c r="M29" s="1">
        <f t="shared" si="9"/>
        <v>0.10879629629629629</v>
      </c>
      <c r="N29" s="1">
        <v>243</v>
      </c>
      <c r="O29" s="1">
        <f t="shared" si="6"/>
        <v>1.4351851851851852E-2</v>
      </c>
      <c r="Q29" s="1">
        <f t="shared" si="6"/>
        <v>-9.8148148148148151E-2</v>
      </c>
      <c r="S29" s="1">
        <f t="shared" ref="S29:S32" si="21">(R29-$F29)/($D29+$E29)</f>
        <v>-2.2083333333333335</v>
      </c>
      <c r="U29">
        <v>2.5</v>
      </c>
      <c r="V29">
        <v>3</v>
      </c>
      <c r="AD29">
        <f t="shared" ref="AD29:AE32" si="22">D29</f>
        <v>36</v>
      </c>
      <c r="AE29">
        <f t="shared" si="22"/>
        <v>60</v>
      </c>
      <c r="AK29" s="15">
        <f>G29</f>
        <v>2.2083333333333335</v>
      </c>
      <c r="AL29">
        <f t="shared" ref="AL29:AM32" si="23">U29</f>
        <v>2.5</v>
      </c>
      <c r="AM29">
        <f t="shared" si="23"/>
        <v>3</v>
      </c>
      <c r="AN29" s="15">
        <f>K40</f>
        <v>0</v>
      </c>
      <c r="AO29" s="15">
        <f>M40</f>
        <v>0</v>
      </c>
      <c r="AP29" s="15">
        <f>O40</f>
        <v>0</v>
      </c>
      <c r="AQ29" s="15">
        <f>Q29</f>
        <v>-9.8148148148148151E-2</v>
      </c>
      <c r="AR29" s="15">
        <f>S29</f>
        <v>-2.2083333333333335</v>
      </c>
    </row>
    <row r="30" spans="1:44" x14ac:dyDescent="0.35">
      <c r="D30">
        <v>48</v>
      </c>
      <c r="E30">
        <v>60</v>
      </c>
      <c r="F30" s="1">
        <v>290</v>
      </c>
      <c r="G30" s="1">
        <f t="shared" si="8"/>
        <v>2.6851851851851851</v>
      </c>
      <c r="J30" s="1">
        <v>489</v>
      </c>
      <c r="K30" s="1">
        <f t="shared" si="4"/>
        <v>6.9097222222222227E-2</v>
      </c>
      <c r="L30" s="1">
        <v>320</v>
      </c>
      <c r="M30" s="1">
        <f t="shared" si="9"/>
        <v>0.1111111111111111</v>
      </c>
      <c r="N30" s="1">
        <v>338</v>
      </c>
      <c r="O30" s="1">
        <f t="shared" ref="O30:O45" si="24">(N30-$F30)/($D30*$E30)</f>
        <v>1.6666666666666666E-2</v>
      </c>
      <c r="Q30" s="1">
        <f t="shared" si="6"/>
        <v>-0.10069444444444445</v>
      </c>
      <c r="S30" s="1">
        <f t="shared" si="21"/>
        <v>-2.6851851851851851</v>
      </c>
      <c r="U30">
        <v>2.5</v>
      </c>
      <c r="V30">
        <v>3</v>
      </c>
      <c r="AD30">
        <f t="shared" si="22"/>
        <v>48</v>
      </c>
      <c r="AE30">
        <f t="shared" si="22"/>
        <v>60</v>
      </c>
      <c r="AK30" s="15">
        <f>G30</f>
        <v>2.6851851851851851</v>
      </c>
      <c r="AL30">
        <f t="shared" si="23"/>
        <v>2.5</v>
      </c>
      <c r="AM30">
        <f t="shared" si="23"/>
        <v>3</v>
      </c>
      <c r="AN30" s="15">
        <f>K41</f>
        <v>0.08</v>
      </c>
      <c r="AO30" s="15">
        <f>M41</f>
        <v>0.25</v>
      </c>
      <c r="AP30" s="15">
        <f>O41</f>
        <v>0.03</v>
      </c>
      <c r="AQ30" s="15">
        <f>Q30</f>
        <v>-0.10069444444444445</v>
      </c>
      <c r="AR30" s="15">
        <f>S30</f>
        <v>-2.6851851851851851</v>
      </c>
    </row>
    <row r="31" spans="1:44" x14ac:dyDescent="0.35">
      <c r="D31">
        <v>60</v>
      </c>
      <c r="E31">
        <v>60</v>
      </c>
      <c r="F31" s="1">
        <v>339</v>
      </c>
      <c r="G31" s="1">
        <f t="shared" si="8"/>
        <v>2.8250000000000002</v>
      </c>
      <c r="M31" s="1">
        <f t="shared" si="9"/>
        <v>0</v>
      </c>
      <c r="O31" s="1">
        <f t="shared" si="24"/>
        <v>-9.4166666666666662E-2</v>
      </c>
      <c r="Q31" s="1">
        <f t="shared" si="6"/>
        <v>-9.4166666666666662E-2</v>
      </c>
      <c r="S31" s="1">
        <f t="shared" si="21"/>
        <v>-2.8250000000000002</v>
      </c>
      <c r="U31">
        <v>2.5</v>
      </c>
      <c r="V31">
        <v>3</v>
      </c>
      <c r="AD31">
        <f t="shared" si="22"/>
        <v>60</v>
      </c>
      <c r="AE31">
        <f t="shared" si="22"/>
        <v>60</v>
      </c>
      <c r="AK31" s="15">
        <f>G31</f>
        <v>2.8250000000000002</v>
      </c>
      <c r="AL31">
        <f t="shared" si="23"/>
        <v>2.5</v>
      </c>
      <c r="AM31">
        <f t="shared" si="23"/>
        <v>3</v>
      </c>
      <c r="AN31" s="15">
        <f>K42</f>
        <v>0</v>
      </c>
      <c r="AO31" s="15">
        <f>M42</f>
        <v>0</v>
      </c>
      <c r="AP31" s="15">
        <f>O42</f>
        <v>0</v>
      </c>
      <c r="AQ31" s="15">
        <f>Q31</f>
        <v>-9.4166666666666662E-2</v>
      </c>
      <c r="AR31" s="15">
        <f>S31</f>
        <v>-2.8250000000000002</v>
      </c>
    </row>
    <row r="32" spans="1:44" ht="15" thickBot="1" x14ac:dyDescent="0.4">
      <c r="D32">
        <v>60</v>
      </c>
      <c r="E32">
        <v>72</v>
      </c>
      <c r="F32" s="1">
        <v>452</v>
      </c>
      <c r="G32" s="1">
        <f t="shared" si="8"/>
        <v>3.4242424242424243</v>
      </c>
      <c r="J32" s="1">
        <v>748</v>
      </c>
      <c r="K32" s="1">
        <f t="shared" si="4"/>
        <v>6.851851851851852E-2</v>
      </c>
      <c r="L32" s="1">
        <v>489</v>
      </c>
      <c r="M32" s="1">
        <f t="shared" si="9"/>
        <v>0.11319444444444444</v>
      </c>
      <c r="N32" s="1">
        <v>525</v>
      </c>
      <c r="O32" s="1">
        <f t="shared" si="24"/>
        <v>1.6898148148148148E-2</v>
      </c>
      <c r="Q32" s="1">
        <f t="shared" si="6"/>
        <v>-0.10462962962962963</v>
      </c>
      <c r="S32" s="1">
        <f t="shared" si="21"/>
        <v>-3.4242424242424243</v>
      </c>
      <c r="U32">
        <v>2.5</v>
      </c>
      <c r="V32">
        <v>3</v>
      </c>
      <c r="AD32">
        <f t="shared" si="22"/>
        <v>60</v>
      </c>
      <c r="AE32">
        <f t="shared" si="22"/>
        <v>72</v>
      </c>
      <c r="AK32" s="15">
        <f>G32</f>
        <v>3.4242424242424243</v>
      </c>
      <c r="AL32">
        <f t="shared" si="23"/>
        <v>2.5</v>
      </c>
      <c r="AM32">
        <f t="shared" si="23"/>
        <v>3</v>
      </c>
      <c r="AN32" s="15">
        <f>K43</f>
        <v>7.3495370370370364E-2</v>
      </c>
      <c r="AO32" s="15">
        <f>M43</f>
        <v>0.33969907407407407</v>
      </c>
      <c r="AP32" s="15">
        <f>O43</f>
        <v>1.8518518518518517E-2</v>
      </c>
      <c r="AQ32" s="15">
        <f>Q32</f>
        <v>-0.10462962962962963</v>
      </c>
      <c r="AR32" s="15">
        <f>S32</f>
        <v>-3.4242424242424243</v>
      </c>
    </row>
    <row r="33" spans="1:44" ht="15" thickBot="1" x14ac:dyDescent="0.4">
      <c r="A33" s="60" t="s">
        <v>18</v>
      </c>
      <c r="B33" s="55" t="s">
        <v>12</v>
      </c>
      <c r="C33" s="27" t="s">
        <v>13</v>
      </c>
      <c r="D33" s="11">
        <v>10</v>
      </c>
      <c r="E33" s="11">
        <v>10</v>
      </c>
      <c r="F33" s="28" t="s">
        <v>60</v>
      </c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4"/>
      <c r="S33" s="5"/>
      <c r="U33" s="4"/>
      <c r="V33" s="4"/>
    </row>
    <row r="34" spans="1:44" ht="15" thickBot="1" x14ac:dyDescent="0.4">
      <c r="A34" s="60"/>
      <c r="B34" s="56"/>
      <c r="C34" s="27" t="s">
        <v>14</v>
      </c>
      <c r="D34" s="11">
        <v>120</v>
      </c>
      <c r="E34" s="11">
        <v>120</v>
      </c>
      <c r="F34" s="25">
        <v>160</v>
      </c>
      <c r="G34" s="3">
        <v>3</v>
      </c>
      <c r="H34" s="5"/>
      <c r="I34" s="3"/>
      <c r="J34" s="5"/>
      <c r="K34" s="3">
        <v>0.08</v>
      </c>
      <c r="L34" s="5"/>
      <c r="M34" s="3">
        <v>0.12</v>
      </c>
      <c r="N34" s="5"/>
      <c r="O34" s="3">
        <v>0.03</v>
      </c>
      <c r="P34" s="5"/>
      <c r="Q34" s="3"/>
      <c r="R34" s="4"/>
      <c r="S34" s="3"/>
      <c r="U34" s="4"/>
      <c r="V34" s="4"/>
    </row>
    <row r="35" spans="1:44" x14ac:dyDescent="0.35">
      <c r="A35" s="60"/>
      <c r="B35" s="4"/>
      <c r="C35" s="4"/>
      <c r="D35" s="4"/>
      <c r="E35" s="4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4"/>
      <c r="S35" s="5"/>
      <c r="U35" s="4"/>
      <c r="V35" s="4"/>
      <c r="AC35" t="str">
        <f>A40</f>
        <v>CASE</v>
      </c>
      <c r="AF35" s="14">
        <f>D40</f>
        <v>15.25</v>
      </c>
      <c r="AG35" s="14">
        <f>D41</f>
        <v>37</v>
      </c>
      <c r="AH35" s="14">
        <f>E40</f>
        <v>16</v>
      </c>
      <c r="AI35" s="14">
        <f>E41</f>
        <v>72</v>
      </c>
      <c r="AJ35" s="14">
        <f>F41</f>
        <v>108</v>
      </c>
      <c r="AK35" s="15">
        <f>G41</f>
        <v>4.05</v>
      </c>
      <c r="AN35" s="15">
        <f>K41</f>
        <v>0.08</v>
      </c>
      <c r="AO35" s="15">
        <f>M41</f>
        <v>0.25</v>
      </c>
      <c r="AP35" s="15">
        <f>O41</f>
        <v>0.03</v>
      </c>
      <c r="AQ35" s="15">
        <f>Q41</f>
        <v>0</v>
      </c>
      <c r="AR35" s="15">
        <f>S41</f>
        <v>0</v>
      </c>
    </row>
    <row r="36" spans="1:44" x14ac:dyDescent="0.35">
      <c r="D36">
        <v>24</v>
      </c>
      <c r="E36">
        <v>48</v>
      </c>
      <c r="F36" s="1">
        <v>295</v>
      </c>
      <c r="G36" s="1">
        <f t="shared" si="8"/>
        <v>4.0972222222222223</v>
      </c>
      <c r="J36" s="1">
        <v>358</v>
      </c>
      <c r="K36" s="1">
        <f>(J36-$F36)/($D36*$E36)</f>
        <v>5.46875E-2</v>
      </c>
      <c r="L36" s="1">
        <v>308</v>
      </c>
      <c r="M36" s="1">
        <f t="shared" si="9"/>
        <v>0.2673611111111111</v>
      </c>
      <c r="N36" s="1">
        <v>311</v>
      </c>
      <c r="O36" s="1">
        <f t="shared" si="24"/>
        <v>1.3888888888888888E-2</v>
      </c>
      <c r="Q36" s="1">
        <f t="shared" ref="Q36:Q39" si="25">(P36-$F36)/($D36*$E36)</f>
        <v>-0.2560763888888889</v>
      </c>
      <c r="S36" s="1">
        <f t="shared" ref="S36:S39" si="26">(R36-$F36)/($D36+$E36)</f>
        <v>-4.0972222222222223</v>
      </c>
      <c r="U36">
        <v>2.5</v>
      </c>
      <c r="V36">
        <v>3</v>
      </c>
      <c r="AD36">
        <f t="shared" ref="AD36:AE39" si="27">D36</f>
        <v>24</v>
      </c>
      <c r="AE36">
        <f t="shared" si="27"/>
        <v>48</v>
      </c>
      <c r="AK36" s="15">
        <f>G36</f>
        <v>4.0972222222222223</v>
      </c>
      <c r="AL36">
        <f t="shared" ref="AL36:AM39" si="28">U36</f>
        <v>2.5</v>
      </c>
      <c r="AM36">
        <f t="shared" si="28"/>
        <v>3</v>
      </c>
      <c r="AN36" s="15">
        <f>K49</f>
        <v>0</v>
      </c>
      <c r="AO36" s="15">
        <f>M49</f>
        <v>0</v>
      </c>
      <c r="AP36" s="15">
        <f>O49</f>
        <v>0</v>
      </c>
      <c r="AQ36" s="15">
        <f>Q36</f>
        <v>-0.2560763888888889</v>
      </c>
      <c r="AR36" s="15">
        <f>S36</f>
        <v>-4.0972222222222223</v>
      </c>
    </row>
    <row r="37" spans="1:44" x14ac:dyDescent="0.35">
      <c r="D37">
        <v>36</v>
      </c>
      <c r="E37">
        <v>48</v>
      </c>
      <c r="F37" s="1">
        <v>332</v>
      </c>
      <c r="G37" s="1">
        <f t="shared" si="8"/>
        <v>3.9523809523809526</v>
      </c>
      <c r="J37" s="1">
        <v>451</v>
      </c>
      <c r="K37" s="1">
        <f t="shared" si="4"/>
        <v>6.8865740740740741E-2</v>
      </c>
      <c r="L37" s="1">
        <v>355</v>
      </c>
      <c r="M37" s="1">
        <f t="shared" si="9"/>
        <v>0.20543981481481483</v>
      </c>
      <c r="N37" s="1">
        <v>357</v>
      </c>
      <c r="O37" s="1">
        <f t="shared" si="24"/>
        <v>1.4467592592592593E-2</v>
      </c>
      <c r="Q37" s="1">
        <f t="shared" si="25"/>
        <v>-0.19212962962962962</v>
      </c>
      <c r="S37" s="1">
        <f t="shared" si="26"/>
        <v>-3.9523809523809526</v>
      </c>
      <c r="U37">
        <v>2.5</v>
      </c>
      <c r="V37">
        <v>3</v>
      </c>
      <c r="AD37">
        <f t="shared" si="27"/>
        <v>36</v>
      </c>
      <c r="AE37">
        <f t="shared" si="27"/>
        <v>48</v>
      </c>
      <c r="AK37" s="15">
        <f>G37</f>
        <v>3.9523809523809526</v>
      </c>
      <c r="AL37">
        <f t="shared" si="28"/>
        <v>2.5</v>
      </c>
      <c r="AM37">
        <f t="shared" si="28"/>
        <v>3</v>
      </c>
      <c r="AN37" s="15">
        <f>K50</f>
        <v>0</v>
      </c>
      <c r="AO37" s="15">
        <f>M50</f>
        <v>0</v>
      </c>
      <c r="AP37" s="15">
        <f>O50</f>
        <v>0</v>
      </c>
      <c r="AQ37" s="15">
        <f>Q37</f>
        <v>-0.19212962962962962</v>
      </c>
      <c r="AR37" s="15">
        <f>S37</f>
        <v>-3.9523809523809526</v>
      </c>
    </row>
    <row r="38" spans="1:44" x14ac:dyDescent="0.35">
      <c r="D38">
        <v>36</v>
      </c>
      <c r="E38">
        <v>60</v>
      </c>
      <c r="F38" s="1">
        <v>382</v>
      </c>
      <c r="G38" s="1">
        <f t="shared" si="8"/>
        <v>3.9791666666666665</v>
      </c>
      <c r="J38" s="1">
        <v>501</v>
      </c>
      <c r="K38" s="1">
        <f t="shared" si="4"/>
        <v>5.5092592592592596E-2</v>
      </c>
      <c r="L38" s="1">
        <v>405</v>
      </c>
      <c r="M38" s="1">
        <f t="shared" si="9"/>
        <v>0.1875</v>
      </c>
      <c r="N38" s="1">
        <v>407</v>
      </c>
      <c r="O38" s="1">
        <f t="shared" si="24"/>
        <v>1.1574074074074073E-2</v>
      </c>
      <c r="Q38" s="1">
        <f t="shared" si="25"/>
        <v>-0.17685185185185184</v>
      </c>
      <c r="S38" s="1">
        <f t="shared" si="26"/>
        <v>-3.9791666666666665</v>
      </c>
      <c r="U38">
        <v>2.5</v>
      </c>
      <c r="V38">
        <v>3</v>
      </c>
      <c r="AD38">
        <f t="shared" si="27"/>
        <v>36</v>
      </c>
      <c r="AE38">
        <f t="shared" si="27"/>
        <v>60</v>
      </c>
      <c r="AK38" s="15">
        <f>G38</f>
        <v>3.9791666666666665</v>
      </c>
      <c r="AL38">
        <f t="shared" si="28"/>
        <v>2.5</v>
      </c>
      <c r="AM38">
        <f t="shared" si="28"/>
        <v>3</v>
      </c>
      <c r="AN38" s="15">
        <f>K51</f>
        <v>0</v>
      </c>
      <c r="AO38" s="15">
        <f>M51</f>
        <v>0</v>
      </c>
      <c r="AP38" s="15">
        <f>O51</f>
        <v>0</v>
      </c>
      <c r="AQ38" s="15">
        <f>Q38</f>
        <v>-0.17685185185185184</v>
      </c>
      <c r="AR38" s="15">
        <f>S38</f>
        <v>-3.9791666666666665</v>
      </c>
    </row>
    <row r="39" spans="1:44" ht="15" thickBot="1" x14ac:dyDescent="0.4">
      <c r="D39">
        <v>36</v>
      </c>
      <c r="E39">
        <v>65</v>
      </c>
      <c r="F39" s="1">
        <v>401</v>
      </c>
      <c r="G39" s="1">
        <f t="shared" si="8"/>
        <v>3.9702970297029703</v>
      </c>
      <c r="J39" s="1">
        <v>520</v>
      </c>
      <c r="K39" s="1">
        <f t="shared" si="4"/>
        <v>5.0854700854700854E-2</v>
      </c>
      <c r="L39" s="1">
        <v>424</v>
      </c>
      <c r="M39" s="1">
        <f t="shared" si="9"/>
        <v>0.18119658119658119</v>
      </c>
      <c r="N39" s="1">
        <v>425</v>
      </c>
      <c r="O39" s="1">
        <f t="shared" si="24"/>
        <v>1.0256410256410256E-2</v>
      </c>
      <c r="Q39" s="1">
        <f t="shared" si="25"/>
        <v>-0.17136752136752137</v>
      </c>
      <c r="S39" s="1">
        <f t="shared" si="26"/>
        <v>-3.9702970297029703</v>
      </c>
      <c r="U39">
        <v>2.5</v>
      </c>
      <c r="V39">
        <v>3</v>
      </c>
      <c r="AD39">
        <f t="shared" si="27"/>
        <v>36</v>
      </c>
      <c r="AE39">
        <f t="shared" si="27"/>
        <v>65</v>
      </c>
      <c r="AK39" s="15">
        <f>G39</f>
        <v>3.9702970297029703</v>
      </c>
      <c r="AL39">
        <f t="shared" si="28"/>
        <v>2.5</v>
      </c>
      <c r="AM39">
        <f t="shared" si="28"/>
        <v>3</v>
      </c>
      <c r="AN39" s="15">
        <f>K52</f>
        <v>0</v>
      </c>
      <c r="AO39" s="15">
        <f>M52</f>
        <v>0</v>
      </c>
      <c r="AP39" s="15">
        <f>O52</f>
        <v>0</v>
      </c>
      <c r="AQ39" s="15">
        <f>Q39</f>
        <v>-0.17136752136752137</v>
      </c>
      <c r="AR39" s="15">
        <f>S39</f>
        <v>-3.9702970297029703</v>
      </c>
    </row>
    <row r="40" spans="1:44" ht="15" thickBot="1" x14ac:dyDescent="0.4">
      <c r="A40" s="60" t="s">
        <v>19</v>
      </c>
      <c r="B40" s="7" t="s">
        <v>12</v>
      </c>
      <c r="C40" s="27" t="s">
        <v>13</v>
      </c>
      <c r="D40" s="11">
        <v>15.25</v>
      </c>
      <c r="E40" s="11">
        <v>16</v>
      </c>
      <c r="F40" s="28" t="s">
        <v>60</v>
      </c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4"/>
      <c r="S40" s="5"/>
      <c r="U40" s="4"/>
      <c r="V40" s="4"/>
    </row>
    <row r="41" spans="1:44" ht="15" thickBot="1" x14ac:dyDescent="0.4">
      <c r="A41" s="60"/>
      <c r="B41" s="8"/>
      <c r="C41" s="27" t="s">
        <v>14</v>
      </c>
      <c r="D41" s="11">
        <v>37</v>
      </c>
      <c r="E41" s="11">
        <v>72</v>
      </c>
      <c r="F41" s="25">
        <v>108</v>
      </c>
      <c r="G41" s="3">
        <v>4.05</v>
      </c>
      <c r="H41" s="5"/>
      <c r="I41" s="3"/>
      <c r="J41" s="5"/>
      <c r="K41" s="3">
        <v>0.08</v>
      </c>
      <c r="L41" s="5"/>
      <c r="M41" s="3">
        <v>0.25</v>
      </c>
      <c r="N41" s="5"/>
      <c r="O41" s="3">
        <v>0.03</v>
      </c>
      <c r="P41" s="5"/>
      <c r="Q41" s="3"/>
      <c r="R41" s="4"/>
      <c r="S41" s="3"/>
      <c r="U41" s="4"/>
      <c r="V41" s="4"/>
    </row>
    <row r="42" spans="1:44" x14ac:dyDescent="0.35">
      <c r="A42" s="60"/>
      <c r="B42" s="4"/>
      <c r="C42" s="4"/>
      <c r="D42" s="4"/>
      <c r="E42" s="4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4"/>
      <c r="S42" s="5"/>
      <c r="U42" s="4"/>
      <c r="V42" s="4"/>
      <c r="AC42" t="str">
        <f>A46</f>
        <v>TWIN CASE</v>
      </c>
      <c r="AF42" s="14">
        <f>D46</f>
        <v>30.5</v>
      </c>
      <c r="AG42" s="14">
        <f>D47</f>
        <v>74</v>
      </c>
      <c r="AH42" s="14">
        <f>E46</f>
        <v>16</v>
      </c>
      <c r="AI42" s="14">
        <f>E47</f>
        <v>72</v>
      </c>
      <c r="AJ42" s="14">
        <f>F47</f>
        <v>130</v>
      </c>
      <c r="AK42" s="15">
        <f>G47</f>
        <v>6.5</v>
      </c>
      <c r="AN42" s="15">
        <f>K47</f>
        <v>0.08</v>
      </c>
      <c r="AO42" s="15">
        <f>M47</f>
        <v>0.34</v>
      </c>
      <c r="AP42" s="15">
        <f>O47</f>
        <v>0.03</v>
      </c>
      <c r="AQ42" s="15">
        <f>Q47</f>
        <v>0</v>
      </c>
      <c r="AR42" s="15">
        <f>S47</f>
        <v>0</v>
      </c>
    </row>
    <row r="43" spans="1:44" x14ac:dyDescent="0.35">
      <c r="D43">
        <v>48</v>
      </c>
      <c r="E43">
        <v>36</v>
      </c>
      <c r="F43" s="1">
        <v>559</v>
      </c>
      <c r="G43" s="1">
        <f t="shared" si="8"/>
        <v>6.6547619047619051</v>
      </c>
      <c r="J43" s="1">
        <v>686</v>
      </c>
      <c r="K43" s="1">
        <f t="shared" si="4"/>
        <v>7.3495370370370364E-2</v>
      </c>
      <c r="L43" s="1">
        <v>587</v>
      </c>
      <c r="M43" s="1">
        <f t="shared" si="9"/>
        <v>0.33969907407407407</v>
      </c>
      <c r="N43" s="1">
        <v>591</v>
      </c>
      <c r="O43" s="1">
        <f t="shared" si="24"/>
        <v>1.8518518518518517E-2</v>
      </c>
      <c r="Q43" s="1">
        <f t="shared" ref="Q43:Q45" si="29">(P43-$F43)/($D43*$E43)</f>
        <v>-0.32349537037037035</v>
      </c>
      <c r="S43" s="1">
        <f t="shared" ref="S43:S45" si="30">(R43-$F43)/($D43+$E43)</f>
        <v>-6.6547619047619051</v>
      </c>
      <c r="U43">
        <v>2.5</v>
      </c>
      <c r="V43">
        <v>3</v>
      </c>
      <c r="AD43">
        <f t="shared" ref="AD43:AE45" si="31">D43</f>
        <v>48</v>
      </c>
      <c r="AE43">
        <f t="shared" si="31"/>
        <v>36</v>
      </c>
      <c r="AK43" s="15">
        <f>G43</f>
        <v>6.6547619047619051</v>
      </c>
      <c r="AL43">
        <f t="shared" ref="AL43:AM45" si="32">U43</f>
        <v>2.5</v>
      </c>
      <c r="AM43">
        <f t="shared" si="32"/>
        <v>3</v>
      </c>
      <c r="AN43" s="15">
        <f>K59</f>
        <v>0</v>
      </c>
      <c r="AO43" s="15">
        <f>M59</f>
        <v>0</v>
      </c>
      <c r="AP43" s="15">
        <f>O59</f>
        <v>0</v>
      </c>
      <c r="AQ43" s="15">
        <f>Q43</f>
        <v>-0.32349537037037035</v>
      </c>
      <c r="AR43" s="15">
        <f>S43</f>
        <v>-6.6547619047619051</v>
      </c>
    </row>
    <row r="44" spans="1:44" x14ac:dyDescent="0.35">
      <c r="D44">
        <v>48</v>
      </c>
      <c r="E44">
        <v>48</v>
      </c>
      <c r="F44" s="1">
        <v>588</v>
      </c>
      <c r="G44" s="1">
        <f t="shared" si="8"/>
        <v>6.125</v>
      </c>
      <c r="J44" s="1">
        <v>826</v>
      </c>
      <c r="K44" s="1">
        <f t="shared" si="4"/>
        <v>0.1032986111111111</v>
      </c>
      <c r="L44" s="1">
        <v>634</v>
      </c>
      <c r="M44" s="1">
        <f t="shared" si="9"/>
        <v>0.2751736111111111</v>
      </c>
      <c r="N44" s="1">
        <v>637</v>
      </c>
      <c r="O44" s="1">
        <f t="shared" si="24"/>
        <v>2.1267361111111112E-2</v>
      </c>
      <c r="Q44" s="1">
        <f t="shared" si="29"/>
        <v>-0.25520833333333331</v>
      </c>
      <c r="S44" s="1">
        <f t="shared" si="30"/>
        <v>-6.125</v>
      </c>
      <c r="U44">
        <v>2.5</v>
      </c>
      <c r="V44">
        <v>3</v>
      </c>
      <c r="AD44">
        <f t="shared" si="31"/>
        <v>48</v>
      </c>
      <c r="AE44">
        <f t="shared" si="31"/>
        <v>48</v>
      </c>
      <c r="AK44" s="15">
        <f>G44</f>
        <v>6.125</v>
      </c>
      <c r="AL44">
        <f t="shared" si="32"/>
        <v>2.5</v>
      </c>
      <c r="AM44">
        <f t="shared" si="32"/>
        <v>3</v>
      </c>
      <c r="AN44" s="15">
        <f>K60</f>
        <v>0</v>
      </c>
      <c r="AO44" s="15">
        <f>M60</f>
        <v>0</v>
      </c>
      <c r="AP44" s="15">
        <f>O60</f>
        <v>0</v>
      </c>
      <c r="AQ44" s="15">
        <f>Q44</f>
        <v>-0.25520833333333331</v>
      </c>
      <c r="AR44" s="15">
        <f>S44</f>
        <v>-6.125</v>
      </c>
    </row>
    <row r="45" spans="1:44" ht="15" thickBot="1" x14ac:dyDescent="0.4">
      <c r="D45">
        <v>60</v>
      </c>
      <c r="E45">
        <v>48</v>
      </c>
      <c r="F45" s="1">
        <v>619</v>
      </c>
      <c r="G45" s="1">
        <f t="shared" si="8"/>
        <v>5.7314814814814818</v>
      </c>
      <c r="J45" s="1">
        <v>857</v>
      </c>
      <c r="K45" s="1">
        <f t="shared" si="4"/>
        <v>8.2638888888888887E-2</v>
      </c>
      <c r="L45" s="1">
        <v>664</v>
      </c>
      <c r="M45" s="1">
        <f t="shared" si="9"/>
        <v>0.23055555555555557</v>
      </c>
      <c r="N45" s="1">
        <v>668</v>
      </c>
      <c r="O45" s="1">
        <f t="shared" si="24"/>
        <v>1.7013888888888887E-2</v>
      </c>
      <c r="Q45" s="1">
        <f t="shared" si="29"/>
        <v>-0.21493055555555557</v>
      </c>
      <c r="S45" s="1">
        <f t="shared" si="30"/>
        <v>-5.7314814814814818</v>
      </c>
      <c r="U45">
        <v>3</v>
      </c>
      <c r="V45">
        <v>3.5</v>
      </c>
      <c r="AD45">
        <f t="shared" si="31"/>
        <v>60</v>
      </c>
      <c r="AE45">
        <f t="shared" si="31"/>
        <v>48</v>
      </c>
      <c r="AK45" s="15">
        <f>G45</f>
        <v>5.7314814814814818</v>
      </c>
      <c r="AL45">
        <f t="shared" si="32"/>
        <v>3</v>
      </c>
      <c r="AM45">
        <f t="shared" si="32"/>
        <v>3.5</v>
      </c>
      <c r="AN45" s="15">
        <f>K61</f>
        <v>0</v>
      </c>
      <c r="AO45" s="15">
        <f>M61</f>
        <v>0</v>
      </c>
      <c r="AP45" s="15">
        <f>O61</f>
        <v>0</v>
      </c>
      <c r="AQ45" s="15">
        <f>Q45</f>
        <v>-0.21493055555555557</v>
      </c>
      <c r="AR45" s="15">
        <f>S45</f>
        <v>-5.7314814814814818</v>
      </c>
    </row>
    <row r="46" spans="1:44" ht="15" thickBot="1" x14ac:dyDescent="0.4">
      <c r="A46" s="60" t="s">
        <v>20</v>
      </c>
      <c r="B46" s="7" t="s">
        <v>12</v>
      </c>
      <c r="C46" s="27" t="s">
        <v>13</v>
      </c>
      <c r="D46" s="11">
        <v>30.5</v>
      </c>
      <c r="E46" s="11">
        <v>16</v>
      </c>
      <c r="F46" s="28" t="s">
        <v>60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4"/>
      <c r="S46" s="5"/>
      <c r="U46" s="4"/>
      <c r="V46" s="4"/>
    </row>
    <row r="47" spans="1:44" ht="15" thickBot="1" x14ac:dyDescent="0.4">
      <c r="A47" s="60"/>
      <c r="B47" s="8"/>
      <c r="C47" s="27" t="s">
        <v>14</v>
      </c>
      <c r="D47" s="11">
        <v>74</v>
      </c>
      <c r="E47" s="11">
        <v>72</v>
      </c>
      <c r="F47" s="25">
        <v>130</v>
      </c>
      <c r="G47" s="3">
        <v>6.5</v>
      </c>
      <c r="H47" s="5"/>
      <c r="I47" s="3"/>
      <c r="J47" s="5"/>
      <c r="K47" s="3">
        <v>0.08</v>
      </c>
      <c r="L47" s="5"/>
      <c r="M47" s="3">
        <v>0.34</v>
      </c>
      <c r="N47" s="5"/>
      <c r="O47" s="3">
        <v>0.03</v>
      </c>
      <c r="P47" s="5"/>
      <c r="Q47" s="3"/>
      <c r="R47" s="4"/>
      <c r="S47" s="3"/>
      <c r="U47" s="4"/>
      <c r="V47" s="4"/>
    </row>
    <row r="48" spans="1:44" x14ac:dyDescent="0.35">
      <c r="A48" s="60"/>
      <c r="B48" s="4"/>
      <c r="C48" s="26"/>
      <c r="D48" s="4"/>
      <c r="E48" s="4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4"/>
      <c r="S48" s="5"/>
      <c r="U48" s="4"/>
      <c r="V48" s="4"/>
    </row>
  </sheetData>
  <mergeCells count="33">
    <mergeCell ref="R1:R4"/>
    <mergeCell ref="N1:N4"/>
    <mergeCell ref="P1:P4"/>
    <mergeCell ref="Q1:Q4"/>
    <mergeCell ref="S1:S4"/>
    <mergeCell ref="A46:A48"/>
    <mergeCell ref="A40:A42"/>
    <mergeCell ref="A33:A35"/>
    <mergeCell ref="B10:B11"/>
    <mergeCell ref="B19:B20"/>
    <mergeCell ref="B26:B27"/>
    <mergeCell ref="B33:B34"/>
    <mergeCell ref="U1:U4"/>
    <mergeCell ref="V1:V4"/>
    <mergeCell ref="A10:A12"/>
    <mergeCell ref="A19:A21"/>
    <mergeCell ref="A26:A28"/>
    <mergeCell ref="C1:C4"/>
    <mergeCell ref="D1:D2"/>
    <mergeCell ref="E1:E2"/>
    <mergeCell ref="D3:D4"/>
    <mergeCell ref="E3:E4"/>
    <mergeCell ref="L1:L4"/>
    <mergeCell ref="F1:F4"/>
    <mergeCell ref="H1:H2"/>
    <mergeCell ref="J1:J4"/>
    <mergeCell ref="G1:G4"/>
    <mergeCell ref="I1:I4"/>
    <mergeCell ref="A1:A4"/>
    <mergeCell ref="B1:B4"/>
    <mergeCell ref="K1:K4"/>
    <mergeCell ref="M1:M4"/>
    <mergeCell ref="O1:O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4F005-E506-42CF-A2DA-47A6A3BCFC05}">
  <sheetPr codeName="Sheet3"/>
  <dimension ref="A1:AP49"/>
  <sheetViews>
    <sheetView zoomScaleNormal="100" workbookViewId="0">
      <pane ySplit="4" topLeftCell="A5" activePane="bottomLeft" state="frozen"/>
      <selection pane="bottomLeft" activeCell="L44" sqref="L44:L46"/>
    </sheetView>
  </sheetViews>
  <sheetFormatPr defaultRowHeight="14.5" x14ac:dyDescent="0.35"/>
  <cols>
    <col min="6" max="6" width="12" style="1" customWidth="1"/>
    <col min="7" max="7" width="9.7265625" style="1" bestFit="1" customWidth="1"/>
    <col min="8" max="8" width="11.26953125" style="1" bestFit="1" customWidth="1"/>
    <col min="9" max="11" width="9.7265625" style="1" customWidth="1"/>
    <col min="12" max="12" width="10.7265625" style="1" customWidth="1"/>
    <col min="13" max="13" width="8.7265625" style="1"/>
    <col min="14" max="14" width="11.7265625" style="1" bestFit="1" customWidth="1"/>
    <col min="15" max="15" width="8.7265625" style="1"/>
    <col min="16" max="16" width="9.7265625" customWidth="1"/>
    <col min="17" max="17" width="8.7265625" style="1"/>
    <col min="18" max="18" width="4.1796875" style="4" customWidth="1"/>
    <col min="20" max="20" width="10.26953125" customWidth="1"/>
    <col min="22" max="22" width="0" hidden="1" customWidth="1"/>
    <col min="23" max="24" width="9.26953125" hidden="1" customWidth="1"/>
    <col min="25" max="25" width="12.26953125" hidden="1" customWidth="1"/>
    <col min="26" max="41" width="9.26953125" hidden="1" customWidth="1"/>
    <col min="42" max="42" width="16.1796875" hidden="1" customWidth="1"/>
    <col min="43" max="43" width="9.26953125" customWidth="1"/>
  </cols>
  <sheetData>
    <row r="1" spans="1:42" ht="14.65" customHeight="1" x14ac:dyDescent="0.35">
      <c r="A1" s="36" t="s">
        <v>0</v>
      </c>
      <c r="B1" s="36" t="s">
        <v>1</v>
      </c>
      <c r="C1" s="36" t="s">
        <v>2</v>
      </c>
      <c r="D1" s="36" t="s">
        <v>3</v>
      </c>
      <c r="E1" s="36" t="s">
        <v>3</v>
      </c>
      <c r="F1" s="43" t="s">
        <v>4</v>
      </c>
      <c r="G1" s="40" t="s">
        <v>26</v>
      </c>
      <c r="H1" s="46" t="s">
        <v>31</v>
      </c>
      <c r="I1" s="49" t="s">
        <v>27</v>
      </c>
      <c r="J1" s="46" t="s">
        <v>30</v>
      </c>
      <c r="K1" s="49" t="s">
        <v>27</v>
      </c>
      <c r="L1" s="46" t="s">
        <v>29</v>
      </c>
      <c r="M1" s="49" t="s">
        <v>27</v>
      </c>
      <c r="N1" s="46" t="s">
        <v>28</v>
      </c>
      <c r="O1" s="49" t="s">
        <v>27</v>
      </c>
      <c r="P1" s="57" t="s">
        <v>63</v>
      </c>
      <c r="Q1" s="49" t="s">
        <v>27</v>
      </c>
      <c r="R1" s="32"/>
      <c r="S1" s="52" t="s">
        <v>32</v>
      </c>
      <c r="T1" s="52" t="s">
        <v>33</v>
      </c>
      <c r="W1" t="s">
        <v>12</v>
      </c>
      <c r="X1" t="s">
        <v>45</v>
      </c>
      <c r="Y1" t="s">
        <v>34</v>
      </c>
      <c r="Z1" t="s">
        <v>35</v>
      </c>
      <c r="AA1" t="s">
        <v>44</v>
      </c>
      <c r="AB1" t="s">
        <v>36</v>
      </c>
      <c r="AC1" t="s">
        <v>37</v>
      </c>
      <c r="AD1" t="s">
        <v>38</v>
      </c>
      <c r="AE1" t="s">
        <v>39</v>
      </c>
      <c r="AF1" t="s">
        <v>40</v>
      </c>
      <c r="AG1" t="s">
        <v>41</v>
      </c>
      <c r="AH1" t="s">
        <v>62</v>
      </c>
      <c r="AI1" t="s">
        <v>61</v>
      </c>
      <c r="AJ1" t="s">
        <v>42</v>
      </c>
      <c r="AK1" t="s">
        <v>43</v>
      </c>
      <c r="AL1" s="15" t="str">
        <f>H1</f>
        <v>TEMPERED GLASS</v>
      </c>
      <c r="AM1" s="15" t="str">
        <f>J1</f>
        <v>OBSCURE GLASS</v>
      </c>
      <c r="AN1" s="15" t="str">
        <f>L1</f>
        <v>INTERNAL GRIDS</v>
      </c>
      <c r="AO1" s="15" t="str">
        <f>N1</f>
        <v>SIMULATED DIVIDED LIGHT</v>
      </c>
      <c r="AP1" s="15" t="str">
        <f>P1</f>
        <v>INTERNAL BLINDS</v>
      </c>
    </row>
    <row r="2" spans="1:42" ht="22.15" customHeight="1" x14ac:dyDescent="0.35">
      <c r="A2" s="37"/>
      <c r="B2" s="37"/>
      <c r="C2" s="37"/>
      <c r="D2" s="37"/>
      <c r="E2" s="37"/>
      <c r="F2" s="44"/>
      <c r="G2" s="41"/>
      <c r="H2" s="47"/>
      <c r="I2" s="50"/>
      <c r="J2" s="47"/>
      <c r="K2" s="50"/>
      <c r="L2" s="47"/>
      <c r="M2" s="50"/>
      <c r="N2" s="47"/>
      <c r="O2" s="50"/>
      <c r="P2" s="58"/>
      <c r="Q2" s="50"/>
      <c r="R2" s="32"/>
      <c r="S2" s="53"/>
      <c r="T2" s="53"/>
      <c r="X2" s="13" t="s">
        <v>50</v>
      </c>
      <c r="Y2" s="13" t="str">
        <f>B6</f>
        <v>Provia</v>
      </c>
      <c r="Z2" s="13" t="str">
        <f>C6 &amp; " " &amp;B7</f>
        <v>Endure Triple Glass</v>
      </c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</row>
    <row r="3" spans="1:42" x14ac:dyDescent="0.35">
      <c r="A3" s="37"/>
      <c r="B3" s="37"/>
      <c r="C3" s="37"/>
      <c r="D3" s="37" t="s">
        <v>5</v>
      </c>
      <c r="E3" s="37" t="s">
        <v>6</v>
      </c>
      <c r="F3" s="44"/>
      <c r="G3" s="41"/>
      <c r="H3" s="47"/>
      <c r="I3" s="50"/>
      <c r="J3" s="47"/>
      <c r="K3" s="50"/>
      <c r="L3" s="47"/>
      <c r="M3" s="50"/>
      <c r="N3" s="47"/>
      <c r="O3" s="50"/>
      <c r="P3" s="58"/>
      <c r="Q3" s="50"/>
      <c r="R3" s="32"/>
      <c r="S3" s="53"/>
      <c r="T3" s="53"/>
    </row>
    <row r="4" spans="1:42" ht="15" thickBot="1" x14ac:dyDescent="0.4">
      <c r="A4" s="38"/>
      <c r="B4" s="38"/>
      <c r="C4" s="38"/>
      <c r="D4" s="38"/>
      <c r="E4" s="38"/>
      <c r="F4" s="45"/>
      <c r="G4" s="42"/>
      <c r="H4" s="48"/>
      <c r="I4" s="51"/>
      <c r="J4" s="48"/>
      <c r="K4" s="51"/>
      <c r="L4" s="48"/>
      <c r="M4" s="51"/>
      <c r="N4" s="48"/>
      <c r="O4" s="51"/>
      <c r="P4" s="59"/>
      <c r="Q4" s="51"/>
      <c r="R4" s="32"/>
      <c r="S4" s="54"/>
      <c r="T4" s="54"/>
    </row>
    <row r="5" spans="1:42" x14ac:dyDescent="0.35">
      <c r="AA5" t="str">
        <f>A10</f>
        <v>DH</v>
      </c>
      <c r="AD5" s="14">
        <f>D10</f>
        <v>14.125</v>
      </c>
      <c r="AE5" s="14">
        <f>D11</f>
        <v>58</v>
      </c>
      <c r="AF5" s="14">
        <f>E10</f>
        <v>19.75</v>
      </c>
      <c r="AG5" s="14">
        <f>E11</f>
        <v>96</v>
      </c>
      <c r="AH5" s="14">
        <f>F11</f>
        <v>134</v>
      </c>
      <c r="AI5" s="15">
        <f>G11</f>
        <v>3.5</v>
      </c>
      <c r="AL5" s="15">
        <f>I11</f>
        <v>0.09</v>
      </c>
      <c r="AM5" s="15">
        <f>K11</f>
        <v>0.23</v>
      </c>
      <c r="AN5" s="15">
        <f>M11</f>
        <v>0.02</v>
      </c>
      <c r="AO5" s="15">
        <f>O11</f>
        <v>0</v>
      </c>
      <c r="AP5" s="15">
        <f>Q11</f>
        <v>0</v>
      </c>
    </row>
    <row r="6" spans="1:42" x14ac:dyDescent="0.35">
      <c r="B6" t="s">
        <v>9</v>
      </c>
      <c r="C6" t="s">
        <v>21</v>
      </c>
      <c r="D6">
        <v>36</v>
      </c>
      <c r="E6">
        <v>36</v>
      </c>
      <c r="F6" s="1">
        <v>265</v>
      </c>
      <c r="G6" s="1">
        <f>F6/($D6+$E6)</f>
        <v>3.6805555555555554</v>
      </c>
      <c r="H6" s="1">
        <v>371</v>
      </c>
      <c r="I6" s="1">
        <f>(H6-$F6)/($D6*$E6)</f>
        <v>8.1790123456790126E-2</v>
      </c>
      <c r="J6" s="1">
        <v>292</v>
      </c>
      <c r="K6" s="1">
        <f>J6/($D6*$E6)</f>
        <v>0.22530864197530864</v>
      </c>
      <c r="L6" s="1">
        <v>283</v>
      </c>
      <c r="M6" s="1">
        <f>(L6-$F6)/($D6*$E6)</f>
        <v>1.3888888888888888E-2</v>
      </c>
      <c r="O6" s="1">
        <f>(N6-$F6)/($D6*$E6)</f>
        <v>-0.2044753086419753</v>
      </c>
      <c r="Q6" s="1">
        <f>(P6-$F6)/($D6+$E6)</f>
        <v>-3.6805555555555554</v>
      </c>
      <c r="S6">
        <v>2.5</v>
      </c>
      <c r="T6">
        <v>3</v>
      </c>
      <c r="AB6">
        <f t="shared" ref="AB6:AC9" si="0">D6</f>
        <v>36</v>
      </c>
      <c r="AC6">
        <f t="shared" si="0"/>
        <v>36</v>
      </c>
      <c r="AI6" s="15">
        <f>G6</f>
        <v>3.6805555555555554</v>
      </c>
      <c r="AJ6">
        <f>S6</f>
        <v>2.5</v>
      </c>
      <c r="AK6">
        <f>T6</f>
        <v>3</v>
      </c>
      <c r="AL6" s="15">
        <f>I6</f>
        <v>8.1790123456790126E-2</v>
      </c>
      <c r="AM6" s="15">
        <f>K6</f>
        <v>0.22530864197530864</v>
      </c>
      <c r="AN6" s="15">
        <f>M6</f>
        <v>1.3888888888888888E-2</v>
      </c>
      <c r="AO6" s="15">
        <f>O6</f>
        <v>-0.2044753086419753</v>
      </c>
      <c r="AP6" s="15">
        <f>Q6</f>
        <v>-3.6805555555555554</v>
      </c>
    </row>
    <row r="7" spans="1:42" x14ac:dyDescent="0.35">
      <c r="B7" t="s">
        <v>23</v>
      </c>
      <c r="D7">
        <v>36</v>
      </c>
      <c r="E7">
        <v>60</v>
      </c>
      <c r="F7" s="1">
        <v>326</v>
      </c>
      <c r="G7" s="1">
        <f t="shared" ref="G7:G8" si="1">F7/($D7+$E7)</f>
        <v>3.3958333333333335</v>
      </c>
      <c r="H7" s="1">
        <v>525</v>
      </c>
      <c r="I7" s="1">
        <f t="shared" ref="I7:I33" si="2">(H7-$F7)/($D7*$E7)</f>
        <v>9.2129629629629631E-2</v>
      </c>
      <c r="J7" s="1">
        <v>372</v>
      </c>
      <c r="K7" s="1">
        <f t="shared" ref="K7:K9" si="3">J7/($D7*$E7)</f>
        <v>0.17222222222222222</v>
      </c>
      <c r="L7" s="1">
        <v>359</v>
      </c>
      <c r="M7" s="1">
        <f t="shared" ref="M7:O30" si="4">(L7-$F7)/($D7*$E7)</f>
        <v>1.5277777777777777E-2</v>
      </c>
      <c r="O7" s="1">
        <f t="shared" si="4"/>
        <v>-0.15092592592592594</v>
      </c>
      <c r="Q7" s="1">
        <f t="shared" ref="Q7:Q18" si="5">(P7-$F7)/($D7+$E7)</f>
        <v>-3.3958333333333335</v>
      </c>
      <c r="S7">
        <v>2.5</v>
      </c>
      <c r="T7">
        <v>3</v>
      </c>
      <c r="AB7">
        <f t="shared" si="0"/>
        <v>36</v>
      </c>
      <c r="AC7">
        <f t="shared" si="0"/>
        <v>60</v>
      </c>
      <c r="AI7" s="15">
        <f>G7</f>
        <v>3.3958333333333335</v>
      </c>
      <c r="AJ7">
        <f t="shared" ref="AJ7:AJ9" si="6">S7</f>
        <v>2.5</v>
      </c>
      <c r="AK7">
        <f t="shared" ref="AK7:AK9" si="7">T7</f>
        <v>3</v>
      </c>
      <c r="AL7" s="15">
        <f>I7</f>
        <v>9.2129629629629631E-2</v>
      </c>
      <c r="AM7" s="15">
        <f>K7</f>
        <v>0.17222222222222222</v>
      </c>
      <c r="AN7" s="15">
        <f>M7</f>
        <v>1.5277777777777777E-2</v>
      </c>
      <c r="AO7" s="15">
        <f>O7</f>
        <v>-0.15092592592592594</v>
      </c>
      <c r="AP7" s="15">
        <f>Q7</f>
        <v>-3.3958333333333335</v>
      </c>
    </row>
    <row r="8" spans="1:42" x14ac:dyDescent="0.35">
      <c r="D8">
        <v>36</v>
      </c>
      <c r="E8">
        <v>72</v>
      </c>
      <c r="F8" s="1">
        <v>377</v>
      </c>
      <c r="G8" s="1">
        <f t="shared" si="1"/>
        <v>3.4907407407407409</v>
      </c>
      <c r="H8" s="1">
        <v>576</v>
      </c>
      <c r="I8" s="1">
        <f t="shared" si="2"/>
        <v>7.6774691358024685E-2</v>
      </c>
      <c r="J8" s="1">
        <v>422</v>
      </c>
      <c r="K8" s="1">
        <f t="shared" si="3"/>
        <v>0.16280864197530864</v>
      </c>
      <c r="L8" s="1">
        <v>410</v>
      </c>
      <c r="M8" s="1">
        <f t="shared" si="4"/>
        <v>1.2731481481481481E-2</v>
      </c>
      <c r="O8" s="1">
        <f t="shared" si="4"/>
        <v>-0.14544753086419754</v>
      </c>
      <c r="Q8" s="1">
        <f t="shared" si="5"/>
        <v>-3.4907407407407409</v>
      </c>
      <c r="S8">
        <v>2.5</v>
      </c>
      <c r="T8">
        <v>3</v>
      </c>
      <c r="AB8">
        <f t="shared" si="0"/>
        <v>36</v>
      </c>
      <c r="AC8">
        <f t="shared" si="0"/>
        <v>72</v>
      </c>
      <c r="AI8" s="15">
        <f>G8</f>
        <v>3.4907407407407409</v>
      </c>
      <c r="AJ8">
        <f t="shared" si="6"/>
        <v>2.5</v>
      </c>
      <c r="AK8">
        <f t="shared" si="7"/>
        <v>3</v>
      </c>
      <c r="AL8" s="15">
        <f>I8</f>
        <v>7.6774691358024685E-2</v>
      </c>
      <c r="AM8" s="15">
        <f>K8</f>
        <v>0.16280864197530864</v>
      </c>
      <c r="AN8" s="15">
        <f>M8</f>
        <v>1.2731481481481481E-2</v>
      </c>
      <c r="AO8" s="15">
        <f>O8</f>
        <v>-0.14544753086419754</v>
      </c>
      <c r="AP8" s="15">
        <f>Q8</f>
        <v>-3.4907407407407409</v>
      </c>
    </row>
    <row r="9" spans="1:42" ht="15" thickBot="1" x14ac:dyDescent="0.4">
      <c r="D9">
        <v>42</v>
      </c>
      <c r="E9">
        <v>79</v>
      </c>
      <c r="F9" s="1">
        <v>377</v>
      </c>
      <c r="H9" s="1">
        <v>576</v>
      </c>
      <c r="I9" s="1">
        <f t="shared" si="2"/>
        <v>5.9975889089813141E-2</v>
      </c>
      <c r="J9" s="1">
        <v>422</v>
      </c>
      <c r="K9" s="1">
        <f t="shared" si="3"/>
        <v>0.12718505123568416</v>
      </c>
      <c r="L9" s="1">
        <v>410</v>
      </c>
      <c r="M9" s="1">
        <f t="shared" si="4"/>
        <v>9.9457504520795662E-3</v>
      </c>
      <c r="O9" s="1">
        <f t="shared" ref="O9" si="8">(N9-$F9)/($D9+$E9)</f>
        <v>-3.115702479338843</v>
      </c>
      <c r="Q9" s="1">
        <f t="shared" si="5"/>
        <v>-3.115702479338843</v>
      </c>
      <c r="S9">
        <v>2.5</v>
      </c>
      <c r="T9">
        <v>3</v>
      </c>
      <c r="AB9">
        <f t="shared" si="0"/>
        <v>42</v>
      </c>
      <c r="AC9">
        <f t="shared" si="0"/>
        <v>79</v>
      </c>
      <c r="AI9" s="15">
        <f>G9</f>
        <v>0</v>
      </c>
      <c r="AJ9">
        <f t="shared" si="6"/>
        <v>2.5</v>
      </c>
      <c r="AK9">
        <f t="shared" si="7"/>
        <v>3</v>
      </c>
      <c r="AL9" s="15">
        <f>I9</f>
        <v>5.9975889089813141E-2</v>
      </c>
      <c r="AM9" s="15">
        <f>K9</f>
        <v>0.12718505123568416</v>
      </c>
      <c r="AN9" s="15">
        <f>M9</f>
        <v>9.9457504520795662E-3</v>
      </c>
      <c r="AO9" s="15">
        <f>O9</f>
        <v>-3.115702479338843</v>
      </c>
      <c r="AP9" s="15">
        <f>Q9</f>
        <v>-3.115702479338843</v>
      </c>
    </row>
    <row r="10" spans="1:42" ht="15" thickBot="1" x14ac:dyDescent="0.4">
      <c r="A10" s="35" t="s">
        <v>11</v>
      </c>
      <c r="B10" s="7" t="s">
        <v>12</v>
      </c>
      <c r="C10" s="27" t="s">
        <v>13</v>
      </c>
      <c r="D10" s="11">
        <v>14.125</v>
      </c>
      <c r="E10" s="11">
        <v>19.75</v>
      </c>
      <c r="F10" s="28" t="s">
        <v>60</v>
      </c>
      <c r="G10" s="5"/>
      <c r="H10" s="5"/>
      <c r="I10" s="5"/>
      <c r="J10" s="5"/>
      <c r="K10" s="5"/>
      <c r="L10" s="5"/>
      <c r="M10" s="5"/>
      <c r="N10" s="5"/>
      <c r="O10" s="5"/>
      <c r="P10" s="4"/>
      <c r="Q10" s="5"/>
      <c r="S10" s="4"/>
      <c r="T10" s="4"/>
    </row>
    <row r="11" spans="1:42" ht="15" thickBot="1" x14ac:dyDescent="0.4">
      <c r="A11" s="35"/>
      <c r="B11" s="8"/>
      <c r="C11" s="27" t="s">
        <v>14</v>
      </c>
      <c r="D11" s="11">
        <v>58</v>
      </c>
      <c r="E11" s="11">
        <v>96</v>
      </c>
      <c r="F11" s="25">
        <v>134</v>
      </c>
      <c r="G11" s="3">
        <v>3.5</v>
      </c>
      <c r="H11" s="5"/>
      <c r="I11" s="3">
        <v>0.09</v>
      </c>
      <c r="J11" s="5"/>
      <c r="K11" s="3">
        <v>0.23</v>
      </c>
      <c r="L11" s="5"/>
      <c r="M11" s="3">
        <v>0.02</v>
      </c>
      <c r="N11" s="5"/>
      <c r="O11" s="3"/>
      <c r="P11" s="4"/>
      <c r="Q11" s="3"/>
      <c r="S11" s="4"/>
      <c r="T11" s="4"/>
    </row>
    <row r="12" spans="1:42" x14ac:dyDescent="0.35">
      <c r="A12" s="35"/>
      <c r="B12" s="4"/>
      <c r="C12" s="4"/>
      <c r="D12" s="4"/>
      <c r="E12" s="4"/>
      <c r="F12" s="5"/>
      <c r="G12" s="5"/>
      <c r="H12" s="5"/>
      <c r="I12" s="5"/>
      <c r="J12" s="5"/>
      <c r="K12" s="5"/>
      <c r="L12" s="5"/>
      <c r="M12" s="5"/>
      <c r="N12" s="5"/>
      <c r="O12" s="5"/>
      <c r="P12" s="4"/>
      <c r="Q12" s="5"/>
      <c r="S12" s="4"/>
      <c r="T12" s="4"/>
      <c r="AA12" t="str">
        <f>A19</f>
        <v>2LS</v>
      </c>
      <c r="AD12" s="14">
        <f>D19</f>
        <v>22.25</v>
      </c>
      <c r="AE12" s="14">
        <f>D20</f>
        <v>89.5</v>
      </c>
      <c r="AF12" s="14">
        <f>E19</f>
        <v>15.375</v>
      </c>
      <c r="AG12" s="14">
        <f>E20</f>
        <v>70</v>
      </c>
      <c r="AH12" s="14">
        <f>F20</f>
        <v>140</v>
      </c>
      <c r="AI12" s="15">
        <f>G20</f>
        <v>3.6</v>
      </c>
      <c r="AL12" s="15">
        <f>I20</f>
        <v>0.1</v>
      </c>
      <c r="AM12" s="15">
        <f>K20</f>
        <v>0.21</v>
      </c>
      <c r="AN12" s="15">
        <f>M20</f>
        <v>0.03</v>
      </c>
      <c r="AO12" s="15">
        <f>O20</f>
        <v>0</v>
      </c>
      <c r="AP12" s="15">
        <f>Q20</f>
        <v>0</v>
      </c>
    </row>
    <row r="13" spans="1:42" x14ac:dyDescent="0.35">
      <c r="D13">
        <v>36</v>
      </c>
      <c r="E13">
        <v>36</v>
      </c>
      <c r="F13" s="1">
        <v>234</v>
      </c>
      <c r="G13" s="1">
        <f t="shared" ref="G13:G46" si="9">F13/($D13+$E13)</f>
        <v>3.25</v>
      </c>
      <c r="H13" s="1">
        <v>361</v>
      </c>
      <c r="I13" s="1">
        <f t="shared" si="2"/>
        <v>9.7993827160493832E-2</v>
      </c>
      <c r="J13" s="1">
        <v>262</v>
      </c>
      <c r="K13" s="1">
        <f t="shared" ref="K13:K33" si="10">J13/($D13*$E13)</f>
        <v>0.2021604938271605</v>
      </c>
      <c r="L13" s="1">
        <v>253</v>
      </c>
      <c r="M13" s="1">
        <f t="shared" si="4"/>
        <v>1.4660493827160493E-2</v>
      </c>
      <c r="O13" s="1">
        <f t="shared" si="4"/>
        <v>-0.18055555555555555</v>
      </c>
      <c r="Q13" s="1">
        <f t="shared" si="5"/>
        <v>-3.25</v>
      </c>
      <c r="S13">
        <v>2.5</v>
      </c>
      <c r="T13">
        <v>3</v>
      </c>
      <c r="AB13">
        <f t="shared" ref="AB13:AC18" si="11">D13</f>
        <v>36</v>
      </c>
      <c r="AC13">
        <f t="shared" si="11"/>
        <v>36</v>
      </c>
      <c r="AI13" s="15">
        <f t="shared" ref="AI13:AI18" si="12">G13</f>
        <v>3.25</v>
      </c>
      <c r="AJ13">
        <f>S13</f>
        <v>2.5</v>
      </c>
      <c r="AK13">
        <f>T13</f>
        <v>3</v>
      </c>
      <c r="AL13" s="15">
        <f t="shared" ref="AL13:AL18" si="13">I13</f>
        <v>9.7993827160493832E-2</v>
      </c>
      <c r="AM13" s="15">
        <f t="shared" ref="AM13:AM18" si="14">K13</f>
        <v>0.2021604938271605</v>
      </c>
      <c r="AN13" s="15">
        <f t="shared" ref="AN13:AN18" si="15">M13</f>
        <v>1.4660493827160493E-2</v>
      </c>
      <c r="AO13" s="15">
        <f t="shared" ref="AO13:AO18" si="16">O13</f>
        <v>-0.18055555555555555</v>
      </c>
      <c r="AP13" s="15">
        <f t="shared" ref="AP13:AP18" si="17">Q13</f>
        <v>-3.25</v>
      </c>
    </row>
    <row r="14" spans="1:42" x14ac:dyDescent="0.35">
      <c r="D14">
        <v>48</v>
      </c>
      <c r="E14">
        <v>36</v>
      </c>
      <c r="F14" s="1">
        <v>312</v>
      </c>
      <c r="G14" s="1">
        <f t="shared" si="9"/>
        <v>3.7142857142857144</v>
      </c>
      <c r="H14" s="1">
        <v>512</v>
      </c>
      <c r="I14" s="1">
        <f t="shared" si="2"/>
        <v>0.11574074074074074</v>
      </c>
      <c r="J14" s="1">
        <v>358</v>
      </c>
      <c r="K14" s="1">
        <f t="shared" si="10"/>
        <v>0.20717592592592593</v>
      </c>
      <c r="L14" s="1">
        <v>362</v>
      </c>
      <c r="M14" s="1">
        <f t="shared" si="4"/>
        <v>2.8935185185185185E-2</v>
      </c>
      <c r="O14" s="1">
        <f t="shared" si="4"/>
        <v>-0.18055555555555555</v>
      </c>
      <c r="Q14" s="1">
        <f t="shared" si="5"/>
        <v>-3.7142857142857144</v>
      </c>
      <c r="S14">
        <v>2.5</v>
      </c>
      <c r="T14">
        <v>3</v>
      </c>
      <c r="AB14">
        <f t="shared" si="11"/>
        <v>48</v>
      </c>
      <c r="AC14">
        <f t="shared" si="11"/>
        <v>36</v>
      </c>
      <c r="AI14" s="15">
        <f t="shared" si="12"/>
        <v>3.7142857142857144</v>
      </c>
      <c r="AJ14">
        <f t="shared" ref="AJ14:AJ18" si="18">S14</f>
        <v>2.5</v>
      </c>
      <c r="AK14">
        <f t="shared" ref="AK14:AK18" si="19">T14</f>
        <v>3</v>
      </c>
      <c r="AL14" s="15">
        <f t="shared" si="13"/>
        <v>0.11574074074074074</v>
      </c>
      <c r="AM14" s="15">
        <f t="shared" si="14"/>
        <v>0.20717592592592593</v>
      </c>
      <c r="AN14" s="15">
        <f t="shared" si="15"/>
        <v>2.8935185185185185E-2</v>
      </c>
      <c r="AO14" s="15">
        <f t="shared" si="16"/>
        <v>-0.18055555555555555</v>
      </c>
      <c r="AP14" s="15">
        <f t="shared" si="17"/>
        <v>-3.7142857142857144</v>
      </c>
    </row>
    <row r="15" spans="1:42" x14ac:dyDescent="0.35">
      <c r="D15">
        <v>60</v>
      </c>
      <c r="E15">
        <v>36</v>
      </c>
      <c r="F15" s="1">
        <v>335</v>
      </c>
      <c r="G15" s="1">
        <f t="shared" si="9"/>
        <v>3.4895833333333335</v>
      </c>
      <c r="H15" s="1">
        <v>534</v>
      </c>
      <c r="I15" s="1">
        <f t="shared" si="2"/>
        <v>9.2129629629629631E-2</v>
      </c>
      <c r="J15" s="1">
        <v>381</v>
      </c>
      <c r="K15" s="1">
        <f t="shared" si="10"/>
        <v>0.1763888888888889</v>
      </c>
      <c r="L15" s="1">
        <v>384</v>
      </c>
      <c r="M15" s="1">
        <f t="shared" si="4"/>
        <v>2.2685185185185187E-2</v>
      </c>
      <c r="O15" s="1">
        <f t="shared" si="4"/>
        <v>-0.15509259259259259</v>
      </c>
      <c r="Q15" s="1">
        <f t="shared" si="5"/>
        <v>-3.4895833333333335</v>
      </c>
      <c r="S15">
        <v>2.5</v>
      </c>
      <c r="T15">
        <v>3</v>
      </c>
      <c r="AB15">
        <f t="shared" si="11"/>
        <v>60</v>
      </c>
      <c r="AC15">
        <f t="shared" si="11"/>
        <v>36</v>
      </c>
      <c r="AI15" s="15">
        <f t="shared" si="12"/>
        <v>3.4895833333333335</v>
      </c>
      <c r="AJ15">
        <f t="shared" si="18"/>
        <v>2.5</v>
      </c>
      <c r="AK15">
        <f t="shared" si="19"/>
        <v>3</v>
      </c>
      <c r="AL15" s="15">
        <f t="shared" si="13"/>
        <v>9.2129629629629631E-2</v>
      </c>
      <c r="AM15" s="15">
        <f t="shared" si="14"/>
        <v>0.1763888888888889</v>
      </c>
      <c r="AN15" s="15">
        <f t="shared" si="15"/>
        <v>2.2685185185185187E-2</v>
      </c>
      <c r="AO15" s="15">
        <f t="shared" si="16"/>
        <v>-0.15509259259259259</v>
      </c>
      <c r="AP15" s="15">
        <f t="shared" si="17"/>
        <v>-3.4895833333333335</v>
      </c>
    </row>
    <row r="16" spans="1:42" x14ac:dyDescent="0.35">
      <c r="D16">
        <v>72</v>
      </c>
      <c r="E16">
        <v>36</v>
      </c>
      <c r="F16" s="1">
        <v>364</v>
      </c>
      <c r="G16" s="1">
        <f t="shared" si="9"/>
        <v>3.3703703703703702</v>
      </c>
      <c r="H16" s="1">
        <v>563</v>
      </c>
      <c r="I16" s="1">
        <f t="shared" si="2"/>
        <v>7.6774691358024685E-2</v>
      </c>
      <c r="J16" s="1">
        <v>410</v>
      </c>
      <c r="K16" s="1">
        <f t="shared" si="10"/>
        <v>0.15817901234567902</v>
      </c>
      <c r="L16" s="1">
        <v>413</v>
      </c>
      <c r="M16" s="1">
        <f t="shared" si="4"/>
        <v>1.8904320987654322E-2</v>
      </c>
      <c r="O16" s="1">
        <f t="shared" ref="O16:O18" si="20">(N16-$F16)/($D16+$E16)</f>
        <v>-3.3703703703703702</v>
      </c>
      <c r="Q16" s="1">
        <f t="shared" si="5"/>
        <v>-3.3703703703703702</v>
      </c>
      <c r="S16">
        <v>2.5</v>
      </c>
      <c r="T16">
        <v>3</v>
      </c>
      <c r="AB16">
        <f t="shared" si="11"/>
        <v>72</v>
      </c>
      <c r="AC16">
        <f t="shared" si="11"/>
        <v>36</v>
      </c>
      <c r="AI16" s="15">
        <f t="shared" si="12"/>
        <v>3.3703703703703702</v>
      </c>
      <c r="AJ16">
        <f t="shared" si="18"/>
        <v>2.5</v>
      </c>
      <c r="AK16">
        <f t="shared" si="19"/>
        <v>3</v>
      </c>
      <c r="AL16" s="15">
        <f t="shared" si="13"/>
        <v>7.6774691358024685E-2</v>
      </c>
      <c r="AM16" s="15">
        <f t="shared" si="14"/>
        <v>0.15817901234567902</v>
      </c>
      <c r="AN16" s="15">
        <f t="shared" si="15"/>
        <v>1.8904320987654322E-2</v>
      </c>
      <c r="AO16" s="15">
        <f t="shared" si="16"/>
        <v>-3.3703703703703702</v>
      </c>
      <c r="AP16" s="15">
        <f t="shared" si="17"/>
        <v>-3.3703703703703702</v>
      </c>
    </row>
    <row r="17" spans="1:42" x14ac:dyDescent="0.35">
      <c r="D17">
        <v>60</v>
      </c>
      <c r="E17">
        <v>60</v>
      </c>
      <c r="F17" s="1">
        <v>452</v>
      </c>
      <c r="G17" s="1">
        <f t="shared" si="9"/>
        <v>3.7666666666666666</v>
      </c>
      <c r="H17" s="1">
        <v>651</v>
      </c>
      <c r="I17" s="1">
        <f t="shared" si="2"/>
        <v>5.527777777777778E-2</v>
      </c>
      <c r="J17" s="1">
        <v>497</v>
      </c>
      <c r="K17" s="1">
        <f t="shared" si="10"/>
        <v>0.13805555555555554</v>
      </c>
      <c r="L17" s="1">
        <v>501</v>
      </c>
      <c r="M17" s="1">
        <f t="shared" si="4"/>
        <v>1.361111111111111E-2</v>
      </c>
      <c r="O17" s="1">
        <f t="shared" si="20"/>
        <v>-3.7666666666666666</v>
      </c>
      <c r="Q17" s="1">
        <f t="shared" si="5"/>
        <v>-3.7666666666666666</v>
      </c>
      <c r="S17">
        <v>2.5</v>
      </c>
      <c r="T17">
        <v>3</v>
      </c>
      <c r="AB17">
        <f t="shared" si="11"/>
        <v>60</v>
      </c>
      <c r="AC17">
        <f t="shared" si="11"/>
        <v>60</v>
      </c>
      <c r="AI17" s="15">
        <f t="shared" si="12"/>
        <v>3.7666666666666666</v>
      </c>
      <c r="AJ17">
        <f t="shared" si="18"/>
        <v>2.5</v>
      </c>
      <c r="AK17">
        <f t="shared" si="19"/>
        <v>3</v>
      </c>
      <c r="AL17" s="15">
        <f t="shared" si="13"/>
        <v>5.527777777777778E-2</v>
      </c>
      <c r="AM17" s="15">
        <f t="shared" si="14"/>
        <v>0.13805555555555554</v>
      </c>
      <c r="AN17" s="15">
        <f t="shared" si="15"/>
        <v>1.361111111111111E-2</v>
      </c>
      <c r="AO17" s="15">
        <f t="shared" si="16"/>
        <v>-3.7666666666666666</v>
      </c>
      <c r="AP17" s="15">
        <f t="shared" si="17"/>
        <v>-3.7666666666666666</v>
      </c>
    </row>
    <row r="18" spans="1:42" ht="15" thickBot="1" x14ac:dyDescent="0.4">
      <c r="D18">
        <v>70</v>
      </c>
      <c r="E18">
        <v>60</v>
      </c>
      <c r="F18" s="1">
        <v>473</v>
      </c>
      <c r="G18" s="1">
        <f t="shared" si="9"/>
        <v>3.6384615384615384</v>
      </c>
      <c r="H18" s="1">
        <v>672</v>
      </c>
      <c r="I18" s="1">
        <f t="shared" si="2"/>
        <v>4.7380952380952378E-2</v>
      </c>
      <c r="J18" s="1">
        <v>519</v>
      </c>
      <c r="K18" s="1">
        <f t="shared" si="10"/>
        <v>0.12357142857142857</v>
      </c>
      <c r="L18" s="1">
        <v>522</v>
      </c>
      <c r="M18" s="1">
        <f t="shared" si="4"/>
        <v>1.1666666666666667E-2</v>
      </c>
      <c r="O18" s="1">
        <f t="shared" si="20"/>
        <v>-3.6384615384615384</v>
      </c>
      <c r="Q18" s="1">
        <f t="shared" si="5"/>
        <v>-3.6384615384615384</v>
      </c>
      <c r="S18">
        <v>2.5</v>
      </c>
      <c r="T18">
        <v>3</v>
      </c>
      <c r="AB18">
        <f t="shared" si="11"/>
        <v>70</v>
      </c>
      <c r="AC18">
        <f t="shared" si="11"/>
        <v>60</v>
      </c>
      <c r="AI18" s="15">
        <f t="shared" si="12"/>
        <v>3.6384615384615384</v>
      </c>
      <c r="AJ18">
        <f t="shared" si="18"/>
        <v>2.5</v>
      </c>
      <c r="AK18">
        <f t="shared" si="19"/>
        <v>3</v>
      </c>
      <c r="AL18" s="15">
        <f t="shared" si="13"/>
        <v>4.7380952380952378E-2</v>
      </c>
      <c r="AM18" s="15">
        <f t="shared" si="14"/>
        <v>0.12357142857142857</v>
      </c>
      <c r="AN18" s="15">
        <f t="shared" si="15"/>
        <v>1.1666666666666667E-2</v>
      </c>
      <c r="AO18" s="15">
        <f t="shared" si="16"/>
        <v>-3.6384615384615384</v>
      </c>
      <c r="AP18" s="15">
        <f t="shared" si="17"/>
        <v>-3.6384615384615384</v>
      </c>
    </row>
    <row r="19" spans="1:42" ht="15" thickBot="1" x14ac:dyDescent="0.4">
      <c r="A19" s="35" t="s">
        <v>15</v>
      </c>
      <c r="B19" s="7" t="s">
        <v>12</v>
      </c>
      <c r="C19" s="27" t="s">
        <v>13</v>
      </c>
      <c r="D19" s="11">
        <v>22.25</v>
      </c>
      <c r="E19" s="11">
        <v>15.375</v>
      </c>
      <c r="F19" s="28" t="s">
        <v>60</v>
      </c>
      <c r="G19" s="5"/>
      <c r="H19" s="5"/>
      <c r="I19" s="5"/>
      <c r="J19" s="5"/>
      <c r="K19" s="5"/>
      <c r="L19" s="5"/>
      <c r="M19" s="5"/>
      <c r="N19" s="5"/>
      <c r="O19" s="5"/>
      <c r="P19" s="4"/>
      <c r="Q19" s="5"/>
      <c r="S19" s="4"/>
      <c r="T19" s="4"/>
    </row>
    <row r="20" spans="1:42" ht="15" thickBot="1" x14ac:dyDescent="0.4">
      <c r="A20" s="35"/>
      <c r="B20" s="8"/>
      <c r="C20" s="27" t="s">
        <v>14</v>
      </c>
      <c r="D20" s="11">
        <v>89.5</v>
      </c>
      <c r="E20" s="11">
        <v>70</v>
      </c>
      <c r="F20" s="25">
        <v>140</v>
      </c>
      <c r="G20" s="3">
        <v>3.6</v>
      </c>
      <c r="H20" s="5"/>
      <c r="I20" s="3">
        <v>0.1</v>
      </c>
      <c r="J20" s="5"/>
      <c r="K20" s="3">
        <v>0.21</v>
      </c>
      <c r="L20" s="5"/>
      <c r="M20" s="3">
        <v>0.03</v>
      </c>
      <c r="N20" s="5"/>
      <c r="O20" s="3"/>
      <c r="P20" s="4"/>
      <c r="Q20" s="3"/>
      <c r="S20" s="4"/>
      <c r="T20" s="4"/>
    </row>
    <row r="21" spans="1:42" x14ac:dyDescent="0.35">
      <c r="A21" s="35"/>
      <c r="B21" s="4"/>
      <c r="C21" s="4"/>
      <c r="D21" s="4"/>
      <c r="E21" s="4"/>
      <c r="F21" s="5"/>
      <c r="G21" s="5"/>
      <c r="H21" s="5"/>
      <c r="I21" s="5"/>
      <c r="J21" s="5"/>
      <c r="K21" s="5"/>
      <c r="L21" s="5"/>
      <c r="M21" s="5"/>
      <c r="N21" s="5"/>
      <c r="O21" s="5"/>
      <c r="P21" s="4"/>
      <c r="Q21" s="5"/>
      <c r="S21" s="4"/>
      <c r="T21" s="4"/>
      <c r="AA21" t="str">
        <f>A27</f>
        <v>3LS</v>
      </c>
      <c r="AD21" s="14">
        <f>D27</f>
        <v>31</v>
      </c>
      <c r="AE21" s="14">
        <f>D28</f>
        <v>120</v>
      </c>
      <c r="AF21" s="14">
        <f>E27</f>
        <v>15.375</v>
      </c>
      <c r="AG21" s="14">
        <f>E28</f>
        <v>70</v>
      </c>
      <c r="AH21" s="14">
        <f>F28</f>
        <v>171</v>
      </c>
      <c r="AI21" s="15">
        <f>G28</f>
        <v>4.5</v>
      </c>
      <c r="AL21" s="15">
        <f>I28</f>
        <v>0.12</v>
      </c>
      <c r="AM21" s="15">
        <f>K28</f>
        <v>0.18</v>
      </c>
      <c r="AN21" s="15">
        <f>M28</f>
        <v>0.02</v>
      </c>
      <c r="AO21" s="15">
        <f>O28</f>
        <v>0</v>
      </c>
      <c r="AP21" s="15">
        <f>Q28</f>
        <v>0</v>
      </c>
    </row>
    <row r="22" spans="1:42" x14ac:dyDescent="0.35">
      <c r="D22">
        <v>72</v>
      </c>
      <c r="E22">
        <v>36</v>
      </c>
      <c r="F22" s="1">
        <v>425</v>
      </c>
      <c r="G22" s="1">
        <f t="shared" si="9"/>
        <v>3.9351851851851851</v>
      </c>
      <c r="H22" s="1">
        <v>711</v>
      </c>
      <c r="I22" s="1">
        <f t="shared" si="2"/>
        <v>0.11033950617283951</v>
      </c>
      <c r="J22" s="1">
        <v>466</v>
      </c>
      <c r="K22" s="1">
        <f t="shared" si="10"/>
        <v>0.17978395061728394</v>
      </c>
      <c r="L22" s="1">
        <v>454</v>
      </c>
      <c r="M22" s="1">
        <f t="shared" si="4"/>
        <v>1.1188271604938271E-2</v>
      </c>
      <c r="O22" s="1">
        <f t="shared" ref="O22:Q26" si="21">(N22-$F22)/($D22+$E22)</f>
        <v>-3.9351851851851851</v>
      </c>
      <c r="Q22" s="1">
        <f t="shared" si="21"/>
        <v>-3.9351851851851851</v>
      </c>
      <c r="S22">
        <v>2.5</v>
      </c>
      <c r="T22">
        <v>3</v>
      </c>
      <c r="AB22">
        <f t="shared" ref="AB22:AC26" si="22">D22</f>
        <v>72</v>
      </c>
      <c r="AC22">
        <f t="shared" si="22"/>
        <v>36</v>
      </c>
      <c r="AI22" s="15">
        <f>G22</f>
        <v>3.9351851851851851</v>
      </c>
      <c r="AJ22">
        <f t="shared" ref="AJ22:AK26" si="23">S22</f>
        <v>2.5</v>
      </c>
      <c r="AK22">
        <f t="shared" si="23"/>
        <v>3</v>
      </c>
      <c r="AL22" s="15">
        <f>I22</f>
        <v>0.11033950617283951</v>
      </c>
      <c r="AM22" s="15">
        <f>K22</f>
        <v>0.17978395061728394</v>
      </c>
      <c r="AN22" s="15">
        <f>M22</f>
        <v>1.1188271604938271E-2</v>
      </c>
      <c r="AO22" s="15">
        <f>O22</f>
        <v>-3.9351851851851851</v>
      </c>
      <c r="AP22" s="15">
        <f>Q22</f>
        <v>-3.9351851851851851</v>
      </c>
    </row>
    <row r="23" spans="1:42" x14ac:dyDescent="0.35">
      <c r="D23">
        <v>72</v>
      </c>
      <c r="E23">
        <v>48</v>
      </c>
      <c r="F23" s="1">
        <v>551</v>
      </c>
      <c r="G23" s="1">
        <f t="shared" si="9"/>
        <v>4.5916666666666668</v>
      </c>
      <c r="H23" s="1">
        <v>837</v>
      </c>
      <c r="I23" s="1">
        <f t="shared" si="2"/>
        <v>8.2754629629629636E-2</v>
      </c>
      <c r="J23" s="1">
        <v>592</v>
      </c>
      <c r="K23" s="1">
        <f t="shared" si="10"/>
        <v>0.17129629629629631</v>
      </c>
      <c r="L23" s="1">
        <v>580</v>
      </c>
      <c r="M23" s="1">
        <f t="shared" si="4"/>
        <v>8.3912037037037045E-3</v>
      </c>
      <c r="O23" s="1">
        <f t="shared" si="21"/>
        <v>-4.5916666666666668</v>
      </c>
      <c r="Q23" s="1">
        <f t="shared" si="21"/>
        <v>-4.5916666666666668</v>
      </c>
      <c r="S23">
        <v>2.5</v>
      </c>
      <c r="T23">
        <v>3</v>
      </c>
      <c r="AB23">
        <f t="shared" si="22"/>
        <v>72</v>
      </c>
      <c r="AC23">
        <f t="shared" si="22"/>
        <v>48</v>
      </c>
      <c r="AI23" s="15">
        <f>G23</f>
        <v>4.5916666666666668</v>
      </c>
      <c r="AJ23">
        <f t="shared" si="23"/>
        <v>2.5</v>
      </c>
      <c r="AK23">
        <f t="shared" si="23"/>
        <v>3</v>
      </c>
      <c r="AL23" s="15">
        <f>I23</f>
        <v>8.2754629629629636E-2</v>
      </c>
      <c r="AM23" s="15">
        <f>K23</f>
        <v>0.17129629629629631</v>
      </c>
      <c r="AN23" s="15">
        <f>M23</f>
        <v>8.3912037037037045E-3</v>
      </c>
      <c r="AO23" s="15">
        <f>O23</f>
        <v>-4.5916666666666668</v>
      </c>
      <c r="AP23" s="15">
        <f>Q23</f>
        <v>-4.5916666666666668</v>
      </c>
    </row>
    <row r="24" spans="1:42" x14ac:dyDescent="0.35">
      <c r="D24">
        <v>72</v>
      </c>
      <c r="E24">
        <v>60</v>
      </c>
      <c r="F24" s="1">
        <v>578</v>
      </c>
      <c r="G24" s="1">
        <f t="shared" si="9"/>
        <v>4.3787878787878789</v>
      </c>
      <c r="H24" s="1">
        <v>1114</v>
      </c>
      <c r="I24" s="1">
        <f t="shared" si="2"/>
        <v>0.12407407407407407</v>
      </c>
      <c r="J24" s="1">
        <v>647</v>
      </c>
      <c r="K24" s="1">
        <f t="shared" si="10"/>
        <v>0.14976851851851852</v>
      </c>
      <c r="L24" s="1">
        <v>652</v>
      </c>
      <c r="M24" s="1">
        <f t="shared" si="4"/>
        <v>1.712962962962963E-2</v>
      </c>
      <c r="O24" s="1">
        <f t="shared" si="21"/>
        <v>-4.3787878787878789</v>
      </c>
      <c r="Q24" s="1">
        <f t="shared" si="21"/>
        <v>-4.3787878787878789</v>
      </c>
      <c r="S24">
        <v>2.5</v>
      </c>
      <c r="T24">
        <v>3</v>
      </c>
      <c r="AB24">
        <f t="shared" si="22"/>
        <v>72</v>
      </c>
      <c r="AC24">
        <f t="shared" si="22"/>
        <v>60</v>
      </c>
      <c r="AI24" s="15">
        <f>G24</f>
        <v>4.3787878787878789</v>
      </c>
      <c r="AJ24">
        <f t="shared" si="23"/>
        <v>2.5</v>
      </c>
      <c r="AK24">
        <f t="shared" si="23"/>
        <v>3</v>
      </c>
      <c r="AL24" s="15">
        <f>I24</f>
        <v>0.12407407407407407</v>
      </c>
      <c r="AM24" s="15">
        <f>K24</f>
        <v>0.14976851851851852</v>
      </c>
      <c r="AN24" s="15">
        <f>M24</f>
        <v>1.712962962962963E-2</v>
      </c>
      <c r="AO24" s="15">
        <f>O24</f>
        <v>-4.3787878787878789</v>
      </c>
      <c r="AP24" s="15">
        <f>Q24</f>
        <v>-4.3787878787878789</v>
      </c>
    </row>
    <row r="25" spans="1:42" x14ac:dyDescent="0.35">
      <c r="D25">
        <v>96</v>
      </c>
      <c r="E25">
        <v>60</v>
      </c>
      <c r="F25" s="1">
        <v>642</v>
      </c>
      <c r="G25" s="1">
        <f t="shared" si="9"/>
        <v>4.115384615384615</v>
      </c>
      <c r="H25" s="1">
        <v>1177</v>
      </c>
      <c r="I25" s="1">
        <f t="shared" si="2"/>
        <v>9.2881944444444448E-2</v>
      </c>
      <c r="J25" s="1">
        <v>710</v>
      </c>
      <c r="K25" s="1">
        <f t="shared" si="10"/>
        <v>0.1232638888888889</v>
      </c>
      <c r="L25" s="1">
        <v>715</v>
      </c>
      <c r="M25" s="1">
        <f t="shared" si="4"/>
        <v>1.2673611111111111E-2</v>
      </c>
      <c r="O25" s="1">
        <f t="shared" si="21"/>
        <v>-4.115384615384615</v>
      </c>
      <c r="Q25" s="1">
        <f t="shared" si="21"/>
        <v>-4.115384615384615</v>
      </c>
      <c r="S25">
        <v>3</v>
      </c>
      <c r="T25">
        <v>3.5</v>
      </c>
      <c r="AB25">
        <f t="shared" si="22"/>
        <v>96</v>
      </c>
      <c r="AC25">
        <f t="shared" si="22"/>
        <v>60</v>
      </c>
      <c r="AI25" s="15">
        <f>G25</f>
        <v>4.115384615384615</v>
      </c>
      <c r="AJ25">
        <f t="shared" si="23"/>
        <v>3</v>
      </c>
      <c r="AK25">
        <f t="shared" si="23"/>
        <v>3.5</v>
      </c>
      <c r="AL25" s="15">
        <f>I25</f>
        <v>9.2881944444444448E-2</v>
      </c>
      <c r="AM25" s="15">
        <f>K25</f>
        <v>0.1232638888888889</v>
      </c>
      <c r="AN25" s="15">
        <f>M25</f>
        <v>1.2673611111111111E-2</v>
      </c>
      <c r="AO25" s="15">
        <f>O25</f>
        <v>-4.115384615384615</v>
      </c>
      <c r="AP25" s="15">
        <f>Q25</f>
        <v>-4.115384615384615</v>
      </c>
    </row>
    <row r="26" spans="1:42" ht="15" thickBot="1" x14ac:dyDescent="0.4">
      <c r="D26">
        <v>108</v>
      </c>
      <c r="E26">
        <v>60</v>
      </c>
      <c r="F26" s="1">
        <v>873</v>
      </c>
      <c r="G26" s="1">
        <f t="shared" si="9"/>
        <v>5.1964285714285712</v>
      </c>
      <c r="H26" s="1">
        <v>1670</v>
      </c>
      <c r="I26" s="1">
        <f t="shared" si="2"/>
        <v>0.12299382716049383</v>
      </c>
      <c r="J26" s="1">
        <v>942</v>
      </c>
      <c r="K26" s="1">
        <f t="shared" si="10"/>
        <v>0.14537037037037037</v>
      </c>
      <c r="L26" s="1">
        <v>947</v>
      </c>
      <c r="M26" s="1">
        <f t="shared" si="4"/>
        <v>1.1419753086419753E-2</v>
      </c>
      <c r="O26" s="1">
        <f t="shared" si="21"/>
        <v>-5.1964285714285712</v>
      </c>
      <c r="Q26" s="1">
        <f>(P26-$F26)/($D26+$E26)</f>
        <v>-5.1964285714285712</v>
      </c>
      <c r="S26">
        <v>3</v>
      </c>
      <c r="T26">
        <v>3.5</v>
      </c>
      <c r="AB26">
        <f t="shared" si="22"/>
        <v>108</v>
      </c>
      <c r="AC26">
        <f t="shared" si="22"/>
        <v>60</v>
      </c>
      <c r="AI26" s="15">
        <f>G26</f>
        <v>5.1964285714285712</v>
      </c>
      <c r="AJ26">
        <f t="shared" si="23"/>
        <v>3</v>
      </c>
      <c r="AK26">
        <f t="shared" si="23"/>
        <v>3.5</v>
      </c>
      <c r="AL26" s="15">
        <f>I26</f>
        <v>0.12299382716049383</v>
      </c>
      <c r="AM26" s="15">
        <f>K26</f>
        <v>0.14537037037037037</v>
      </c>
      <c r="AN26" s="15">
        <f>M26</f>
        <v>1.1419753086419753E-2</v>
      </c>
      <c r="AO26" s="15">
        <f>O26</f>
        <v>-5.1964285714285712</v>
      </c>
      <c r="AP26" s="15">
        <f>Q26</f>
        <v>-5.1964285714285712</v>
      </c>
    </row>
    <row r="27" spans="1:42" ht="15" thickBot="1" x14ac:dyDescent="0.4">
      <c r="A27" s="35" t="s">
        <v>16</v>
      </c>
      <c r="B27" s="7" t="s">
        <v>12</v>
      </c>
      <c r="C27" s="27" t="s">
        <v>13</v>
      </c>
      <c r="D27" s="11">
        <v>31</v>
      </c>
      <c r="E27" s="11">
        <v>15.375</v>
      </c>
      <c r="F27" s="28" t="s">
        <v>60</v>
      </c>
      <c r="G27" s="5"/>
      <c r="H27" s="5"/>
      <c r="I27" s="5"/>
      <c r="J27" s="5"/>
      <c r="K27" s="5"/>
      <c r="L27" s="5"/>
      <c r="M27" s="5"/>
      <c r="N27" s="5"/>
      <c r="O27" s="5"/>
      <c r="P27" s="4"/>
      <c r="Q27" s="5"/>
      <c r="S27" s="4"/>
      <c r="T27" s="4"/>
    </row>
    <row r="28" spans="1:42" ht="15" thickBot="1" x14ac:dyDescent="0.4">
      <c r="A28" s="35"/>
      <c r="B28" s="8"/>
      <c r="C28" s="27" t="s">
        <v>14</v>
      </c>
      <c r="D28" s="11">
        <v>120</v>
      </c>
      <c r="E28" s="11">
        <v>70</v>
      </c>
      <c r="F28" s="25">
        <v>171</v>
      </c>
      <c r="G28" s="3">
        <v>4.5</v>
      </c>
      <c r="H28" s="5"/>
      <c r="I28" s="3">
        <v>0.12</v>
      </c>
      <c r="J28" s="5"/>
      <c r="K28" s="3">
        <v>0.18</v>
      </c>
      <c r="L28" s="5"/>
      <c r="M28" s="3">
        <v>0.02</v>
      </c>
      <c r="N28" s="5"/>
      <c r="O28" s="3"/>
      <c r="P28" s="4"/>
      <c r="Q28" s="3"/>
      <c r="S28" s="4"/>
      <c r="T28" s="4"/>
    </row>
    <row r="29" spans="1:42" x14ac:dyDescent="0.35">
      <c r="A29" s="35"/>
      <c r="B29" s="4"/>
      <c r="C29" s="4"/>
      <c r="D29" s="4"/>
      <c r="E29" s="4"/>
      <c r="F29" s="5"/>
      <c r="G29" s="5"/>
      <c r="H29" s="5"/>
      <c r="I29" s="5"/>
      <c r="J29" s="5"/>
      <c r="K29" s="5"/>
      <c r="L29" s="5"/>
      <c r="M29" s="5"/>
      <c r="N29" s="5"/>
      <c r="O29" s="5"/>
      <c r="P29" s="4"/>
      <c r="Q29" s="5"/>
      <c r="S29" s="4"/>
      <c r="T29" s="4"/>
      <c r="AA29" t="str">
        <f>A34</f>
        <v>PIC</v>
      </c>
      <c r="AD29" s="14">
        <f>D34</f>
        <v>10</v>
      </c>
      <c r="AE29" s="14">
        <f>D35</f>
        <v>120</v>
      </c>
      <c r="AF29" s="14">
        <f>E34</f>
        <v>10</v>
      </c>
      <c r="AG29" s="14">
        <f>E35</f>
        <v>120</v>
      </c>
      <c r="AH29" s="14">
        <f>F35</f>
        <v>108</v>
      </c>
      <c r="AI29" s="15">
        <f>G35</f>
        <v>4.3</v>
      </c>
      <c r="AL29" s="15">
        <f>I35</f>
        <v>0.12</v>
      </c>
      <c r="AM29" s="15">
        <f>K35</f>
        <v>0.18</v>
      </c>
      <c r="AN29" s="15">
        <f>M35</f>
        <v>0.02</v>
      </c>
      <c r="AO29" s="15">
        <f>O35</f>
        <v>0</v>
      </c>
      <c r="AP29" s="15">
        <f>Q35</f>
        <v>0</v>
      </c>
    </row>
    <row r="30" spans="1:42" x14ac:dyDescent="0.35">
      <c r="B30" t="s">
        <v>22</v>
      </c>
      <c r="D30">
        <v>36</v>
      </c>
      <c r="E30">
        <v>60</v>
      </c>
      <c r="F30" s="1">
        <v>271</v>
      </c>
      <c r="G30" s="1">
        <f t="shared" si="9"/>
        <v>2.8229166666666665</v>
      </c>
      <c r="H30" s="1">
        <v>449</v>
      </c>
      <c r="I30" s="1">
        <f t="shared" si="2"/>
        <v>8.2407407407407401E-2</v>
      </c>
      <c r="J30" s="1">
        <v>294</v>
      </c>
      <c r="K30" s="1">
        <f t="shared" si="10"/>
        <v>0.1361111111111111</v>
      </c>
      <c r="L30" s="1">
        <v>301</v>
      </c>
      <c r="M30" s="1">
        <f t="shared" si="4"/>
        <v>1.3888888888888888E-2</v>
      </c>
      <c r="O30" s="1">
        <f t="shared" ref="O30:O33" si="24">(N30-$F30)/($D30+$E30)</f>
        <v>-2.8229166666666665</v>
      </c>
      <c r="Q30" s="1">
        <f t="shared" ref="Q30:Q33" si="25">(P30-$F30)/($D30+$E30)</f>
        <v>-2.8229166666666665</v>
      </c>
      <c r="S30">
        <v>2.5</v>
      </c>
      <c r="T30">
        <v>3</v>
      </c>
      <c r="AB30">
        <f t="shared" ref="AB30:AC33" si="26">D30</f>
        <v>36</v>
      </c>
      <c r="AC30">
        <f t="shared" si="26"/>
        <v>60</v>
      </c>
      <c r="AI30" s="15">
        <f>G30</f>
        <v>2.8229166666666665</v>
      </c>
      <c r="AJ30">
        <f t="shared" ref="AJ30:AK33" si="27">S30</f>
        <v>2.5</v>
      </c>
      <c r="AK30">
        <f t="shared" si="27"/>
        <v>3</v>
      </c>
      <c r="AL30" s="15">
        <f>I30</f>
        <v>8.2407407407407401E-2</v>
      </c>
      <c r="AM30" s="15">
        <f>K30</f>
        <v>0.1361111111111111</v>
      </c>
      <c r="AN30" s="15">
        <f>M30</f>
        <v>1.3888888888888888E-2</v>
      </c>
      <c r="AO30" s="15">
        <f>O30</f>
        <v>-2.8229166666666665</v>
      </c>
      <c r="AP30" s="15">
        <f>Q30</f>
        <v>-2.8229166666666665</v>
      </c>
    </row>
    <row r="31" spans="1:42" x14ac:dyDescent="0.35">
      <c r="B31" t="s">
        <v>22</v>
      </c>
      <c r="D31">
        <v>48</v>
      </c>
      <c r="E31">
        <v>60</v>
      </c>
      <c r="F31" s="1">
        <v>472</v>
      </c>
      <c r="G31" s="1">
        <f t="shared" si="9"/>
        <v>4.3703703703703702</v>
      </c>
      <c r="H31" s="1">
        <v>771</v>
      </c>
      <c r="I31" s="1">
        <f t="shared" si="2"/>
        <v>0.10381944444444445</v>
      </c>
      <c r="J31" s="1">
        <v>502</v>
      </c>
      <c r="K31" s="1">
        <f t="shared" si="10"/>
        <v>0.17430555555555555</v>
      </c>
      <c r="L31" s="1">
        <v>521</v>
      </c>
      <c r="M31" s="1">
        <f t="shared" ref="M31:M33" si="28">(L31-$F31)/($D31*$E31)</f>
        <v>1.7013888888888887E-2</v>
      </c>
      <c r="O31" s="1">
        <f t="shared" si="24"/>
        <v>-4.3703703703703702</v>
      </c>
      <c r="Q31" s="1">
        <f t="shared" si="25"/>
        <v>-4.3703703703703702</v>
      </c>
      <c r="S31">
        <v>2.5</v>
      </c>
      <c r="T31">
        <v>3</v>
      </c>
      <c r="AB31">
        <f t="shared" si="26"/>
        <v>48</v>
      </c>
      <c r="AC31">
        <f t="shared" si="26"/>
        <v>60</v>
      </c>
      <c r="AI31" s="15">
        <f>G31</f>
        <v>4.3703703703703702</v>
      </c>
      <c r="AJ31">
        <f t="shared" si="27"/>
        <v>2.5</v>
      </c>
      <c r="AK31">
        <f t="shared" si="27"/>
        <v>3</v>
      </c>
      <c r="AL31" s="15">
        <f>I31</f>
        <v>0.10381944444444445</v>
      </c>
      <c r="AM31" s="15">
        <f>K31</f>
        <v>0.17430555555555555</v>
      </c>
      <c r="AN31" s="15">
        <f>M31</f>
        <v>1.7013888888888887E-2</v>
      </c>
      <c r="AO31" s="15">
        <f>O31</f>
        <v>-4.3703703703703702</v>
      </c>
      <c r="AP31" s="15">
        <f>Q31</f>
        <v>-4.3703703703703702</v>
      </c>
    </row>
    <row r="32" spans="1:42" x14ac:dyDescent="0.35">
      <c r="D32">
        <v>60</v>
      </c>
      <c r="E32">
        <v>60</v>
      </c>
      <c r="F32" s="1">
        <v>339</v>
      </c>
      <c r="G32" s="1">
        <f t="shared" si="9"/>
        <v>2.8250000000000002</v>
      </c>
      <c r="I32" s="1">
        <f t="shared" si="2"/>
        <v>-9.4166666666666662E-2</v>
      </c>
      <c r="K32" s="1">
        <f t="shared" si="10"/>
        <v>0</v>
      </c>
      <c r="M32" s="1">
        <f t="shared" si="28"/>
        <v>-9.4166666666666662E-2</v>
      </c>
      <c r="O32" s="1">
        <f t="shared" si="24"/>
        <v>-2.8250000000000002</v>
      </c>
      <c r="Q32" s="1">
        <f t="shared" si="25"/>
        <v>-2.8250000000000002</v>
      </c>
      <c r="S32">
        <v>2.5</v>
      </c>
      <c r="T32">
        <v>3</v>
      </c>
      <c r="AB32">
        <f t="shared" si="26"/>
        <v>60</v>
      </c>
      <c r="AC32">
        <f t="shared" si="26"/>
        <v>60</v>
      </c>
      <c r="AI32" s="15">
        <f>G32</f>
        <v>2.8250000000000002</v>
      </c>
      <c r="AJ32">
        <f t="shared" si="27"/>
        <v>2.5</v>
      </c>
      <c r="AK32">
        <f t="shared" si="27"/>
        <v>3</v>
      </c>
      <c r="AL32" s="15">
        <f>I32</f>
        <v>-9.4166666666666662E-2</v>
      </c>
      <c r="AM32" s="15">
        <f>K32</f>
        <v>0</v>
      </c>
      <c r="AN32" s="15">
        <f>M32</f>
        <v>-9.4166666666666662E-2</v>
      </c>
      <c r="AO32" s="15">
        <f>O32</f>
        <v>-2.8250000000000002</v>
      </c>
      <c r="AP32" s="15">
        <f>Q32</f>
        <v>-2.8250000000000002</v>
      </c>
    </row>
    <row r="33" spans="1:42" ht="15" thickBot="1" x14ac:dyDescent="0.4">
      <c r="D33">
        <v>60</v>
      </c>
      <c r="E33">
        <v>72</v>
      </c>
      <c r="F33" s="1">
        <v>452</v>
      </c>
      <c r="G33" s="1">
        <f t="shared" si="9"/>
        <v>3.4242424242424243</v>
      </c>
      <c r="I33" s="1">
        <f t="shared" si="2"/>
        <v>-0.10462962962962963</v>
      </c>
      <c r="K33" s="1">
        <f t="shared" si="10"/>
        <v>0</v>
      </c>
      <c r="M33" s="1">
        <f t="shared" si="28"/>
        <v>-0.10462962962962963</v>
      </c>
      <c r="O33" s="1">
        <f t="shared" si="24"/>
        <v>-3.4242424242424243</v>
      </c>
      <c r="Q33" s="1">
        <f t="shared" si="25"/>
        <v>-3.4242424242424243</v>
      </c>
      <c r="S33">
        <v>2.5</v>
      </c>
      <c r="T33">
        <v>3</v>
      </c>
      <c r="AB33">
        <f t="shared" si="26"/>
        <v>60</v>
      </c>
      <c r="AC33">
        <f t="shared" si="26"/>
        <v>72</v>
      </c>
      <c r="AI33" s="15">
        <f>G33</f>
        <v>3.4242424242424243</v>
      </c>
      <c r="AJ33">
        <f t="shared" si="27"/>
        <v>2.5</v>
      </c>
      <c r="AK33">
        <f t="shared" si="27"/>
        <v>3</v>
      </c>
      <c r="AL33" s="15">
        <f>I33</f>
        <v>-0.10462962962962963</v>
      </c>
      <c r="AM33" s="15">
        <f>K33</f>
        <v>0</v>
      </c>
      <c r="AN33" s="15">
        <f>M33</f>
        <v>-0.10462962962962963</v>
      </c>
      <c r="AO33" s="15">
        <f>O33</f>
        <v>-3.4242424242424243</v>
      </c>
      <c r="AP33" s="15">
        <f>Q33</f>
        <v>-3.4242424242424243</v>
      </c>
    </row>
    <row r="34" spans="1:42" ht="15" thickBot="1" x14ac:dyDescent="0.4">
      <c r="A34" s="35" t="s">
        <v>18</v>
      </c>
      <c r="B34" s="7" t="s">
        <v>12</v>
      </c>
      <c r="C34" s="27" t="s">
        <v>13</v>
      </c>
      <c r="D34" s="11">
        <v>10</v>
      </c>
      <c r="E34" s="11">
        <v>10</v>
      </c>
      <c r="F34" s="28" t="s">
        <v>60</v>
      </c>
      <c r="G34" s="5"/>
      <c r="H34" s="5"/>
      <c r="I34" s="5"/>
      <c r="J34" s="5"/>
      <c r="K34" s="5"/>
      <c r="L34" s="5"/>
      <c r="M34" s="5"/>
      <c r="N34" s="5"/>
      <c r="O34" s="5"/>
      <c r="P34" s="4"/>
      <c r="Q34" s="5"/>
      <c r="S34" s="4"/>
      <c r="T34" s="4"/>
    </row>
    <row r="35" spans="1:42" ht="15" thickBot="1" x14ac:dyDescent="0.4">
      <c r="A35" s="35"/>
      <c r="B35" s="8"/>
      <c r="C35" s="27" t="s">
        <v>14</v>
      </c>
      <c r="D35" s="11">
        <v>120</v>
      </c>
      <c r="E35" s="11">
        <v>120</v>
      </c>
      <c r="F35" s="25">
        <v>108</v>
      </c>
      <c r="G35" s="3">
        <v>4.3</v>
      </c>
      <c r="H35" s="5"/>
      <c r="I35" s="3">
        <v>0.12</v>
      </c>
      <c r="J35" s="5"/>
      <c r="K35" s="3">
        <v>0.18</v>
      </c>
      <c r="L35" s="5"/>
      <c r="M35" s="3">
        <v>0.02</v>
      </c>
      <c r="N35" s="5"/>
      <c r="O35" s="3"/>
      <c r="P35" s="4"/>
      <c r="Q35" s="3"/>
      <c r="S35" s="4"/>
      <c r="T35" s="4"/>
    </row>
    <row r="36" spans="1:42" x14ac:dyDescent="0.35">
      <c r="A36" s="35"/>
      <c r="B36" s="4"/>
      <c r="C36" s="4"/>
      <c r="D36" s="4"/>
      <c r="E36" s="4"/>
      <c r="F36" s="5"/>
      <c r="G36" s="5"/>
      <c r="H36" s="5"/>
      <c r="I36" s="5"/>
      <c r="J36" s="5"/>
      <c r="K36" s="5"/>
      <c r="L36" s="5"/>
      <c r="M36" s="5"/>
      <c r="N36" s="5"/>
      <c r="O36" s="5"/>
      <c r="P36" s="4"/>
      <c r="Q36" s="5"/>
      <c r="S36" s="4"/>
      <c r="T36" s="4"/>
      <c r="AA36" t="str">
        <f>A41</f>
        <v>CASE</v>
      </c>
      <c r="AD36" s="14">
        <f>D41</f>
        <v>15.25</v>
      </c>
      <c r="AE36" s="14">
        <f>D42</f>
        <v>37</v>
      </c>
      <c r="AF36" s="14">
        <f>E41</f>
        <v>16</v>
      </c>
      <c r="AG36" s="14">
        <f>E42</f>
        <v>72</v>
      </c>
      <c r="AH36" s="14">
        <f>F42</f>
        <v>98</v>
      </c>
      <c r="AI36" s="15">
        <f>G42</f>
        <v>4.2</v>
      </c>
      <c r="AL36" s="15">
        <f>I42</f>
        <v>0.12</v>
      </c>
      <c r="AM36" s="15">
        <f>K42</f>
        <v>0.18</v>
      </c>
      <c r="AN36" s="15">
        <f>M42</f>
        <v>0.03</v>
      </c>
      <c r="AO36" s="15">
        <f>O42</f>
        <v>0</v>
      </c>
      <c r="AP36" s="15">
        <f>Q42</f>
        <v>0</v>
      </c>
    </row>
    <row r="37" spans="1:42" x14ac:dyDescent="0.35">
      <c r="D37">
        <v>24</v>
      </c>
      <c r="E37">
        <v>48</v>
      </c>
      <c r="F37" s="1">
        <v>321</v>
      </c>
      <c r="G37" s="1">
        <f t="shared" si="9"/>
        <v>4.458333333333333</v>
      </c>
      <c r="H37" s="1">
        <v>417</v>
      </c>
      <c r="I37" s="1">
        <f t="shared" ref="I37:I40" si="29">(H37-$F37)/($D37*$E37)</f>
        <v>8.3333333333333329E-2</v>
      </c>
      <c r="J37" s="1">
        <v>335</v>
      </c>
      <c r="K37" s="1">
        <f t="shared" ref="K37:K40" si="30">J37/($D37*$E37)</f>
        <v>0.2907986111111111</v>
      </c>
      <c r="L37" s="1">
        <v>337</v>
      </c>
      <c r="M37" s="1">
        <f t="shared" ref="M37:M40" si="31">(L37-$F37)/($D37*$E37)</f>
        <v>1.3888888888888888E-2</v>
      </c>
      <c r="O37" s="1">
        <f t="shared" ref="O37:O40" si="32">(N37-$F37)/($D37+$E37)</f>
        <v>-4.458333333333333</v>
      </c>
      <c r="Q37" s="1">
        <f t="shared" ref="Q37:Q40" si="33">(P37-$F37)/($D37+$E37)</f>
        <v>-4.458333333333333</v>
      </c>
      <c r="S37">
        <v>2.5</v>
      </c>
      <c r="T37">
        <v>3</v>
      </c>
      <c r="AB37">
        <f t="shared" ref="AB37:AC40" si="34">D37</f>
        <v>24</v>
      </c>
      <c r="AC37">
        <f t="shared" si="34"/>
        <v>48</v>
      </c>
      <c r="AI37" s="15">
        <f>G37</f>
        <v>4.458333333333333</v>
      </c>
      <c r="AJ37">
        <f t="shared" ref="AJ37:AK40" si="35">S37</f>
        <v>2.5</v>
      </c>
      <c r="AK37">
        <f t="shared" si="35"/>
        <v>3</v>
      </c>
      <c r="AL37" s="15">
        <f>I37</f>
        <v>8.3333333333333329E-2</v>
      </c>
      <c r="AM37" s="15">
        <f>K37</f>
        <v>0.2907986111111111</v>
      </c>
      <c r="AN37" s="15">
        <f>M37</f>
        <v>1.3888888888888888E-2</v>
      </c>
      <c r="AO37" s="15">
        <f>O37</f>
        <v>-4.458333333333333</v>
      </c>
      <c r="AP37" s="15">
        <f>Q37</f>
        <v>-4.458333333333333</v>
      </c>
    </row>
    <row r="38" spans="1:42" x14ac:dyDescent="0.35">
      <c r="D38">
        <v>36</v>
      </c>
      <c r="E38">
        <v>48</v>
      </c>
      <c r="F38" s="1">
        <v>332</v>
      </c>
      <c r="G38" s="1">
        <f t="shared" si="9"/>
        <v>3.9523809523809526</v>
      </c>
      <c r="I38" s="1">
        <f t="shared" si="29"/>
        <v>-0.19212962962962962</v>
      </c>
      <c r="K38" s="1">
        <f t="shared" si="30"/>
        <v>0</v>
      </c>
      <c r="M38" s="1">
        <f t="shared" si="31"/>
        <v>-0.19212962962962962</v>
      </c>
      <c r="O38" s="1">
        <f t="shared" si="32"/>
        <v>-3.9523809523809526</v>
      </c>
      <c r="Q38" s="1">
        <f t="shared" si="33"/>
        <v>-3.9523809523809526</v>
      </c>
      <c r="S38">
        <v>2.5</v>
      </c>
      <c r="T38">
        <v>3</v>
      </c>
      <c r="AB38">
        <f t="shared" si="34"/>
        <v>36</v>
      </c>
      <c r="AC38">
        <f t="shared" si="34"/>
        <v>48</v>
      </c>
      <c r="AI38" s="15">
        <f>G38</f>
        <v>3.9523809523809526</v>
      </c>
      <c r="AJ38">
        <f t="shared" si="35"/>
        <v>2.5</v>
      </c>
      <c r="AK38">
        <f t="shared" si="35"/>
        <v>3</v>
      </c>
      <c r="AL38" s="15">
        <f>I38</f>
        <v>-0.19212962962962962</v>
      </c>
      <c r="AM38" s="15">
        <f>K38</f>
        <v>0</v>
      </c>
      <c r="AN38" s="15">
        <f>M38</f>
        <v>-0.19212962962962962</v>
      </c>
      <c r="AO38" s="15">
        <f>O38</f>
        <v>-3.9523809523809526</v>
      </c>
      <c r="AP38" s="15">
        <f>Q38</f>
        <v>-3.9523809523809526</v>
      </c>
    </row>
    <row r="39" spans="1:42" x14ac:dyDescent="0.35">
      <c r="B39" t="s">
        <v>22</v>
      </c>
      <c r="D39">
        <v>36</v>
      </c>
      <c r="E39">
        <v>60</v>
      </c>
      <c r="F39" s="1">
        <v>382</v>
      </c>
      <c r="G39" s="1">
        <f t="shared" si="9"/>
        <v>3.9791666666666665</v>
      </c>
      <c r="I39" s="1">
        <f t="shared" si="29"/>
        <v>-0.17685185185185184</v>
      </c>
      <c r="K39" s="1">
        <f t="shared" si="30"/>
        <v>0</v>
      </c>
      <c r="M39" s="1">
        <f t="shared" si="31"/>
        <v>-0.17685185185185184</v>
      </c>
      <c r="O39" s="1">
        <f t="shared" si="32"/>
        <v>-3.9791666666666665</v>
      </c>
      <c r="Q39" s="1">
        <f t="shared" si="33"/>
        <v>-3.9791666666666665</v>
      </c>
      <c r="S39">
        <v>2.5</v>
      </c>
      <c r="T39">
        <v>3</v>
      </c>
      <c r="AB39">
        <f t="shared" si="34"/>
        <v>36</v>
      </c>
      <c r="AC39">
        <f t="shared" si="34"/>
        <v>60</v>
      </c>
      <c r="AI39" s="15">
        <f>G39</f>
        <v>3.9791666666666665</v>
      </c>
      <c r="AJ39">
        <f t="shared" si="35"/>
        <v>2.5</v>
      </c>
      <c r="AK39">
        <f t="shared" si="35"/>
        <v>3</v>
      </c>
      <c r="AL39" s="15">
        <f>I39</f>
        <v>-0.17685185185185184</v>
      </c>
      <c r="AM39" s="15">
        <f>K39</f>
        <v>0</v>
      </c>
      <c r="AN39" s="15">
        <f>M39</f>
        <v>-0.17685185185185184</v>
      </c>
      <c r="AO39" s="15">
        <f>O39</f>
        <v>-3.9791666666666665</v>
      </c>
      <c r="AP39" s="15">
        <f>Q39</f>
        <v>-3.9791666666666665</v>
      </c>
    </row>
    <row r="40" spans="1:42" ht="15" thickBot="1" x14ac:dyDescent="0.4">
      <c r="B40" t="s">
        <v>22</v>
      </c>
      <c r="D40">
        <v>36</v>
      </c>
      <c r="E40">
        <v>65</v>
      </c>
      <c r="F40" s="1">
        <v>401</v>
      </c>
      <c r="G40" s="1">
        <f t="shared" si="9"/>
        <v>3.9702970297029703</v>
      </c>
      <c r="I40" s="1">
        <f t="shared" si="29"/>
        <v>-0.17136752136752137</v>
      </c>
      <c r="K40" s="1">
        <f t="shared" si="30"/>
        <v>0</v>
      </c>
      <c r="M40" s="1">
        <f t="shared" si="31"/>
        <v>-0.17136752136752137</v>
      </c>
      <c r="O40" s="1">
        <f t="shared" si="32"/>
        <v>-3.9702970297029703</v>
      </c>
      <c r="Q40" s="1">
        <f t="shared" si="33"/>
        <v>-3.9702970297029703</v>
      </c>
      <c r="S40">
        <v>2.5</v>
      </c>
      <c r="T40">
        <v>3</v>
      </c>
      <c r="AB40">
        <f t="shared" si="34"/>
        <v>36</v>
      </c>
      <c r="AC40">
        <f t="shared" si="34"/>
        <v>65</v>
      </c>
      <c r="AI40" s="15">
        <f>G40</f>
        <v>3.9702970297029703</v>
      </c>
      <c r="AJ40">
        <f t="shared" si="35"/>
        <v>2.5</v>
      </c>
      <c r="AK40">
        <f t="shared" si="35"/>
        <v>3</v>
      </c>
      <c r="AL40" s="15">
        <f>I40</f>
        <v>-0.17136752136752137</v>
      </c>
      <c r="AM40" s="15">
        <f>K40</f>
        <v>0</v>
      </c>
      <c r="AN40" s="15">
        <f>M40</f>
        <v>-0.17136752136752137</v>
      </c>
      <c r="AO40" s="15">
        <f>O40</f>
        <v>-3.9702970297029703</v>
      </c>
      <c r="AP40" s="15">
        <f>Q40</f>
        <v>-3.9702970297029703</v>
      </c>
    </row>
    <row r="41" spans="1:42" ht="15" thickBot="1" x14ac:dyDescent="0.4">
      <c r="A41" s="35" t="s">
        <v>19</v>
      </c>
      <c r="B41" s="7" t="s">
        <v>12</v>
      </c>
      <c r="C41" s="27" t="s">
        <v>13</v>
      </c>
      <c r="D41" s="11">
        <v>15.25</v>
      </c>
      <c r="E41" s="11">
        <v>16</v>
      </c>
      <c r="F41" s="28" t="s">
        <v>60</v>
      </c>
      <c r="G41" s="5"/>
      <c r="H41" s="5"/>
      <c r="I41" s="5"/>
      <c r="J41" s="5"/>
      <c r="K41" s="5"/>
      <c r="L41" s="5"/>
      <c r="M41" s="5"/>
      <c r="N41" s="5"/>
      <c r="O41" s="5"/>
      <c r="P41" s="4"/>
      <c r="Q41" s="5"/>
      <c r="S41" s="4"/>
      <c r="T41" s="4"/>
    </row>
    <row r="42" spans="1:42" ht="15" thickBot="1" x14ac:dyDescent="0.4">
      <c r="A42" s="35"/>
      <c r="B42" s="8"/>
      <c r="C42" s="27" t="s">
        <v>14</v>
      </c>
      <c r="D42" s="11">
        <v>37</v>
      </c>
      <c r="E42" s="11">
        <v>72</v>
      </c>
      <c r="F42" s="25">
        <v>98</v>
      </c>
      <c r="G42" s="3">
        <v>4.2</v>
      </c>
      <c r="H42" s="5"/>
      <c r="I42" s="3">
        <v>0.12</v>
      </c>
      <c r="J42" s="5"/>
      <c r="K42" s="3">
        <v>0.18</v>
      </c>
      <c r="L42" s="5"/>
      <c r="M42" s="3">
        <v>0.03</v>
      </c>
      <c r="N42" s="5"/>
      <c r="O42" s="3"/>
      <c r="P42" s="4"/>
      <c r="Q42" s="3"/>
      <c r="S42" s="4"/>
      <c r="T42" s="4"/>
    </row>
    <row r="43" spans="1:42" x14ac:dyDescent="0.35">
      <c r="A43" s="35"/>
      <c r="B43" s="4"/>
      <c r="C43" s="4"/>
      <c r="D43" s="4"/>
      <c r="E43" s="4"/>
      <c r="F43" s="5"/>
      <c r="G43" s="5"/>
      <c r="H43" s="5"/>
      <c r="I43" s="5"/>
      <c r="J43" s="5"/>
      <c r="K43" s="5"/>
      <c r="L43" s="5"/>
      <c r="M43" s="5"/>
      <c r="N43" s="5"/>
      <c r="O43" s="5"/>
      <c r="P43" s="4"/>
      <c r="Q43" s="5"/>
      <c r="S43" s="4"/>
      <c r="T43" s="4"/>
      <c r="AA43" t="str">
        <f>A47</f>
        <v>TWIN CASE</v>
      </c>
      <c r="AD43" s="14">
        <f>D47</f>
        <v>30.5</v>
      </c>
      <c r="AE43" s="14">
        <f>D48</f>
        <v>74</v>
      </c>
      <c r="AF43" s="14">
        <f>E47</f>
        <v>16</v>
      </c>
      <c r="AG43" s="14">
        <f>E48</f>
        <v>72</v>
      </c>
      <c r="AH43" s="14">
        <f>F48</f>
        <v>120</v>
      </c>
      <c r="AI43" s="15">
        <f>G48</f>
        <v>7.15</v>
      </c>
      <c r="AL43" s="15">
        <f>I48</f>
        <v>0.12</v>
      </c>
      <c r="AM43" s="15">
        <f>K48</f>
        <v>0.18</v>
      </c>
      <c r="AN43" s="15">
        <f>M48</f>
        <v>0.03</v>
      </c>
      <c r="AO43" s="15">
        <f>O48</f>
        <v>0</v>
      </c>
      <c r="AP43" s="15">
        <f>Q48</f>
        <v>0</v>
      </c>
    </row>
    <row r="44" spans="1:42" x14ac:dyDescent="0.35">
      <c r="D44">
        <v>48</v>
      </c>
      <c r="E44">
        <v>36</v>
      </c>
      <c r="F44" s="1">
        <v>616</v>
      </c>
      <c r="G44" s="1">
        <f t="shared" si="9"/>
        <v>7.333333333333333</v>
      </c>
      <c r="H44" s="1">
        <v>808</v>
      </c>
      <c r="I44" s="1">
        <f t="shared" ref="I44:I46" si="36">(H44-$F44)/($D44*$E44)</f>
        <v>0.1111111111111111</v>
      </c>
      <c r="J44" s="1">
        <v>644</v>
      </c>
      <c r="K44" s="1">
        <f t="shared" ref="K44:K46" si="37">J44/($D44*$E44)</f>
        <v>0.37268518518518517</v>
      </c>
      <c r="L44" s="1">
        <v>6.48</v>
      </c>
      <c r="M44" s="1">
        <f>(L44-$F44)/($D44*$E44)</f>
        <v>-0.35273148148148148</v>
      </c>
      <c r="O44" s="1">
        <f t="shared" ref="O44:O46" si="38">(N44-$F44)/($D44+$E44)</f>
        <v>-7.333333333333333</v>
      </c>
      <c r="Q44" s="1">
        <f t="shared" ref="Q44:Q46" si="39">(P44-$F44)/($D44+$E44)</f>
        <v>-7.333333333333333</v>
      </c>
      <c r="S44">
        <v>2.5</v>
      </c>
      <c r="T44">
        <v>3</v>
      </c>
      <c r="AB44">
        <f t="shared" ref="AB44:AC46" si="40">D44</f>
        <v>48</v>
      </c>
      <c r="AC44">
        <f t="shared" si="40"/>
        <v>36</v>
      </c>
      <c r="AI44" s="15">
        <f>G44</f>
        <v>7.333333333333333</v>
      </c>
      <c r="AJ44">
        <f t="shared" ref="AJ44:AK46" si="41">S44</f>
        <v>2.5</v>
      </c>
      <c r="AK44">
        <f t="shared" si="41"/>
        <v>3</v>
      </c>
      <c r="AL44" s="15">
        <f>I44</f>
        <v>0.1111111111111111</v>
      </c>
      <c r="AM44" s="15">
        <f>K44</f>
        <v>0.37268518518518517</v>
      </c>
      <c r="AN44" s="15">
        <f>M44</f>
        <v>-0.35273148148148148</v>
      </c>
      <c r="AO44" s="15">
        <f>O44</f>
        <v>-7.333333333333333</v>
      </c>
      <c r="AP44" s="15">
        <f>Q44</f>
        <v>-7.333333333333333</v>
      </c>
    </row>
    <row r="45" spans="1:42" x14ac:dyDescent="0.35">
      <c r="D45">
        <v>48</v>
      </c>
      <c r="E45">
        <v>48</v>
      </c>
      <c r="F45" s="1">
        <v>645</v>
      </c>
      <c r="G45" s="1">
        <f t="shared" si="9"/>
        <v>6.71875</v>
      </c>
      <c r="H45" s="1">
        <v>1002</v>
      </c>
      <c r="I45" s="1">
        <f t="shared" si="36"/>
        <v>0.15494791666666666</v>
      </c>
      <c r="J45" s="1">
        <v>691</v>
      </c>
      <c r="K45" s="1">
        <f t="shared" si="37"/>
        <v>0.29991319444444442</v>
      </c>
      <c r="L45" s="1">
        <v>694</v>
      </c>
      <c r="M45" s="1">
        <f>(L45-$F45)/($D45*$E45)</f>
        <v>2.1267361111111112E-2</v>
      </c>
      <c r="O45" s="1">
        <f t="shared" si="38"/>
        <v>-6.71875</v>
      </c>
      <c r="Q45" s="1">
        <f t="shared" si="39"/>
        <v>-6.71875</v>
      </c>
      <c r="S45">
        <v>2.5</v>
      </c>
      <c r="T45">
        <v>3</v>
      </c>
      <c r="AB45">
        <f t="shared" si="40"/>
        <v>48</v>
      </c>
      <c r="AC45">
        <f t="shared" si="40"/>
        <v>48</v>
      </c>
      <c r="AI45" s="15">
        <f>G45</f>
        <v>6.71875</v>
      </c>
      <c r="AJ45">
        <f t="shared" si="41"/>
        <v>2.5</v>
      </c>
      <c r="AK45">
        <f t="shared" si="41"/>
        <v>3</v>
      </c>
      <c r="AL45" s="15">
        <f>I45</f>
        <v>0.15494791666666666</v>
      </c>
      <c r="AM45" s="15">
        <f>K45</f>
        <v>0.29991319444444442</v>
      </c>
      <c r="AN45" s="15">
        <f>M45</f>
        <v>2.1267361111111112E-2</v>
      </c>
      <c r="AO45" s="15">
        <f>O45</f>
        <v>-6.71875</v>
      </c>
      <c r="AP45" s="15">
        <f>Q45</f>
        <v>-6.71875</v>
      </c>
    </row>
    <row r="46" spans="1:42" ht="15" thickBot="1" x14ac:dyDescent="0.4">
      <c r="D46">
        <v>60</v>
      </c>
      <c r="E46">
        <v>48</v>
      </c>
      <c r="F46" s="1">
        <v>676</v>
      </c>
      <c r="G46" s="1">
        <f t="shared" si="9"/>
        <v>6.2592592592592595</v>
      </c>
      <c r="H46" s="1">
        <v>1033</v>
      </c>
      <c r="I46" s="1">
        <f t="shared" si="36"/>
        <v>0.12395833333333334</v>
      </c>
      <c r="J46" s="1">
        <v>722</v>
      </c>
      <c r="K46" s="1">
        <f t="shared" si="37"/>
        <v>0.25069444444444444</v>
      </c>
      <c r="L46" s="1">
        <v>725</v>
      </c>
      <c r="M46" s="1">
        <f>(L46-$F46)/($D46*$E46)</f>
        <v>1.7013888888888887E-2</v>
      </c>
      <c r="O46" s="1">
        <f t="shared" si="38"/>
        <v>-6.2592592592592595</v>
      </c>
      <c r="Q46" s="1">
        <f t="shared" si="39"/>
        <v>-6.2592592592592595</v>
      </c>
      <c r="S46">
        <v>2.5</v>
      </c>
      <c r="T46">
        <v>3</v>
      </c>
      <c r="AB46">
        <f t="shared" si="40"/>
        <v>60</v>
      </c>
      <c r="AC46">
        <f t="shared" si="40"/>
        <v>48</v>
      </c>
      <c r="AI46" s="15">
        <f>G46</f>
        <v>6.2592592592592595</v>
      </c>
      <c r="AJ46">
        <f t="shared" si="41"/>
        <v>2.5</v>
      </c>
      <c r="AK46">
        <f t="shared" si="41"/>
        <v>3</v>
      </c>
      <c r="AL46" s="15">
        <f>I46</f>
        <v>0.12395833333333334</v>
      </c>
      <c r="AM46" s="15">
        <f>K46</f>
        <v>0.25069444444444444</v>
      </c>
      <c r="AN46" s="15">
        <f>M46</f>
        <v>1.7013888888888887E-2</v>
      </c>
      <c r="AO46" s="15">
        <f>O46</f>
        <v>-6.2592592592592595</v>
      </c>
      <c r="AP46" s="15">
        <f>Q46</f>
        <v>-6.2592592592592595</v>
      </c>
    </row>
    <row r="47" spans="1:42" ht="15" thickBot="1" x14ac:dyDescent="0.4">
      <c r="A47" s="35" t="s">
        <v>20</v>
      </c>
      <c r="B47" s="7" t="s">
        <v>12</v>
      </c>
      <c r="C47" s="27" t="s">
        <v>13</v>
      </c>
      <c r="D47" s="11">
        <v>30.5</v>
      </c>
      <c r="E47" s="11">
        <v>16</v>
      </c>
      <c r="F47" s="28" t="s">
        <v>60</v>
      </c>
      <c r="G47" s="5"/>
      <c r="H47" s="5"/>
      <c r="I47" s="5"/>
      <c r="J47" s="5"/>
      <c r="K47" s="5"/>
      <c r="L47" s="5"/>
      <c r="M47" s="5"/>
      <c r="N47" s="5"/>
      <c r="O47" s="5"/>
      <c r="P47" s="4"/>
      <c r="Q47" s="5"/>
      <c r="S47" s="4"/>
      <c r="T47" s="4"/>
    </row>
    <row r="48" spans="1:42" ht="15" thickBot="1" x14ac:dyDescent="0.4">
      <c r="A48" s="35"/>
      <c r="B48" s="8"/>
      <c r="C48" s="27" t="s">
        <v>14</v>
      </c>
      <c r="D48" s="11">
        <v>74</v>
      </c>
      <c r="E48" s="11">
        <v>72</v>
      </c>
      <c r="F48" s="25">
        <v>120</v>
      </c>
      <c r="G48" s="3">
        <v>7.15</v>
      </c>
      <c r="H48" s="5"/>
      <c r="I48" s="3">
        <v>0.12</v>
      </c>
      <c r="J48" s="5"/>
      <c r="K48" s="3">
        <v>0.18</v>
      </c>
      <c r="L48" s="5"/>
      <c r="M48" s="3">
        <v>0.03</v>
      </c>
      <c r="N48" s="5"/>
      <c r="O48" s="3"/>
      <c r="P48" s="4"/>
      <c r="Q48" s="3"/>
      <c r="S48" s="4"/>
      <c r="T48" s="4"/>
    </row>
    <row r="49" spans="1:20" x14ac:dyDescent="0.35">
      <c r="A49" s="35"/>
      <c r="B49" s="4"/>
      <c r="C49" s="4"/>
      <c r="D49" s="4"/>
      <c r="E49" s="4"/>
      <c r="F49" s="5"/>
      <c r="G49" s="5"/>
      <c r="H49" s="5"/>
      <c r="I49" s="5"/>
      <c r="J49" s="5"/>
      <c r="K49" s="5"/>
      <c r="L49" s="5"/>
      <c r="M49" s="5"/>
      <c r="N49" s="5"/>
      <c r="O49" s="5"/>
      <c r="P49" s="4"/>
      <c r="Q49" s="5"/>
      <c r="S49" s="4"/>
      <c r="T49" s="4"/>
    </row>
  </sheetData>
  <mergeCells count="27">
    <mergeCell ref="P1:P4"/>
    <mergeCell ref="H1:H4"/>
    <mergeCell ref="J1:J4"/>
    <mergeCell ref="L1:L4"/>
    <mergeCell ref="N1:N4"/>
    <mergeCell ref="B1:B4"/>
    <mergeCell ref="C1:C4"/>
    <mergeCell ref="D1:D2"/>
    <mergeCell ref="E1:E2"/>
    <mergeCell ref="D3:D4"/>
    <mergeCell ref="E3:E4"/>
    <mergeCell ref="S1:S4"/>
    <mergeCell ref="T1:T4"/>
    <mergeCell ref="A47:A49"/>
    <mergeCell ref="A41:A43"/>
    <mergeCell ref="A34:A36"/>
    <mergeCell ref="A27:A29"/>
    <mergeCell ref="A19:A21"/>
    <mergeCell ref="A10:A12"/>
    <mergeCell ref="I1:I4"/>
    <mergeCell ref="K1:K4"/>
    <mergeCell ref="M1:M4"/>
    <mergeCell ref="O1:O4"/>
    <mergeCell ref="Q1:Q4"/>
    <mergeCell ref="G1:G4"/>
    <mergeCell ref="F1:F4"/>
    <mergeCell ref="A1:A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4395B-DDC3-49EC-AF5C-30AE239A5BE5}">
  <sheetPr codeName="Sheet4"/>
  <dimension ref="A1:AS48"/>
  <sheetViews>
    <sheetView zoomScale="80" zoomScaleNormal="80" workbookViewId="0">
      <pane ySplit="4" topLeftCell="A26" activePane="bottomLeft" state="frozen"/>
      <selection pane="bottomLeft" activeCell="N43" sqref="N43:N45"/>
    </sheetView>
  </sheetViews>
  <sheetFormatPr defaultRowHeight="14.5" x14ac:dyDescent="0.35"/>
  <cols>
    <col min="1" max="1" width="10.26953125" bestFit="1" customWidth="1"/>
    <col min="6" max="6" width="12.26953125" style="1" bestFit="1" customWidth="1"/>
    <col min="7" max="7" width="9.7265625" style="1" bestFit="1" customWidth="1"/>
    <col min="8" max="9" width="9.7265625" style="1" customWidth="1"/>
    <col min="10" max="10" width="11.26953125" style="1" bestFit="1" customWidth="1"/>
    <col min="11" max="11" width="9.7265625" style="1" customWidth="1"/>
    <col min="12" max="12" width="10.26953125" style="1" bestFit="1" customWidth="1"/>
    <col min="13" max="13" width="9.7265625" style="1" customWidth="1"/>
    <col min="14" max="14" width="11.26953125" style="1" bestFit="1" customWidth="1"/>
    <col min="15" max="15" width="8.7265625" style="1"/>
    <col min="16" max="16" width="11.7265625" style="1" bestFit="1" customWidth="1"/>
    <col min="17" max="17" width="8.7265625" style="1"/>
    <col min="18" max="18" width="9.7265625" customWidth="1"/>
    <col min="19" max="19" width="8.7265625" style="1"/>
    <col min="20" max="20" width="4.1796875" style="4" customWidth="1"/>
    <col min="22" max="22" width="9.7265625" customWidth="1"/>
    <col min="24" max="24" width="0" hidden="1" customWidth="1"/>
    <col min="25" max="35" width="9.26953125" hidden="1" customWidth="1"/>
    <col min="36" max="36" width="9.26953125" style="22" hidden="1" customWidth="1"/>
    <col min="37" max="39" width="9.26953125" hidden="1" customWidth="1"/>
    <col min="40" max="40" width="15.54296875" hidden="1" customWidth="1"/>
    <col min="41" max="41" width="14.26953125" hidden="1" customWidth="1"/>
    <col min="42" max="42" width="14.54296875" hidden="1" customWidth="1"/>
    <col min="43" max="44" width="16.26953125" hidden="1" customWidth="1"/>
    <col min="45" max="45" width="9.26953125" customWidth="1"/>
  </cols>
  <sheetData>
    <row r="1" spans="1:45" ht="14.65" customHeight="1" x14ac:dyDescent="0.35">
      <c r="A1" s="36" t="s">
        <v>0</v>
      </c>
      <c r="B1" s="36" t="s">
        <v>1</v>
      </c>
      <c r="C1" s="36" t="s">
        <v>2</v>
      </c>
      <c r="D1" s="36" t="s">
        <v>3</v>
      </c>
      <c r="E1" s="36" t="s">
        <v>3</v>
      </c>
      <c r="F1" s="43" t="s">
        <v>4</v>
      </c>
      <c r="G1" s="40" t="s">
        <v>26</v>
      </c>
      <c r="H1" s="36" t="s">
        <v>4</v>
      </c>
      <c r="I1" s="40" t="s">
        <v>26</v>
      </c>
      <c r="J1" s="46" t="s">
        <v>31</v>
      </c>
      <c r="K1" s="49" t="s">
        <v>27</v>
      </c>
      <c r="L1" s="46" t="s">
        <v>30</v>
      </c>
      <c r="M1" s="49" t="s">
        <v>27</v>
      </c>
      <c r="N1" s="46" t="s">
        <v>29</v>
      </c>
      <c r="O1" s="49" t="s">
        <v>27</v>
      </c>
      <c r="P1" s="46" t="s">
        <v>28</v>
      </c>
      <c r="Q1" s="49" t="s">
        <v>27</v>
      </c>
      <c r="R1" s="57" t="s">
        <v>63</v>
      </c>
      <c r="S1" s="49" t="s">
        <v>27</v>
      </c>
      <c r="T1" s="32"/>
      <c r="U1" s="52" t="s">
        <v>32</v>
      </c>
      <c r="V1" s="52" t="s">
        <v>33</v>
      </c>
      <c r="Y1" s="13" t="s">
        <v>12</v>
      </c>
      <c r="Z1" t="s">
        <v>45</v>
      </c>
      <c r="AA1" t="s">
        <v>34</v>
      </c>
      <c r="AB1" t="s">
        <v>35</v>
      </c>
      <c r="AC1" t="s">
        <v>44</v>
      </c>
      <c r="AD1" t="s">
        <v>36</v>
      </c>
      <c r="AE1" t="s">
        <v>37</v>
      </c>
      <c r="AF1" t="s">
        <v>38</v>
      </c>
      <c r="AG1" t="s">
        <v>39</v>
      </c>
      <c r="AH1" t="s">
        <v>40</v>
      </c>
      <c r="AI1" t="s">
        <v>41</v>
      </c>
      <c r="AJ1" s="22" t="s">
        <v>62</v>
      </c>
      <c r="AK1" t="s">
        <v>61</v>
      </c>
      <c r="AL1" t="s">
        <v>42</v>
      </c>
      <c r="AM1" t="s">
        <v>43</v>
      </c>
      <c r="AN1" s="15" t="str">
        <f>J1</f>
        <v>TEMPERED GLASS</v>
      </c>
      <c r="AO1" s="15" t="str">
        <f>L1</f>
        <v>OBSCURE GLASS</v>
      </c>
      <c r="AP1" s="15" t="str">
        <f>N1</f>
        <v>INTERNAL GRIDS</v>
      </c>
      <c r="AQ1" s="15" t="str">
        <f>P1</f>
        <v>SIMULATED DIVIDED LIGHT</v>
      </c>
      <c r="AR1" s="15" t="str">
        <f>R1</f>
        <v>INTERNAL BLINDS</v>
      </c>
    </row>
    <row r="2" spans="1:45" x14ac:dyDescent="0.35">
      <c r="A2" s="37"/>
      <c r="B2" s="37"/>
      <c r="C2" s="37"/>
      <c r="D2" s="37"/>
      <c r="E2" s="37"/>
      <c r="F2" s="44"/>
      <c r="G2" s="41"/>
      <c r="H2" s="37"/>
      <c r="I2" s="41"/>
      <c r="J2" s="47"/>
      <c r="K2" s="50"/>
      <c r="L2" s="47"/>
      <c r="M2" s="50"/>
      <c r="N2" s="47"/>
      <c r="O2" s="50"/>
      <c r="P2" s="47"/>
      <c r="Q2" s="50"/>
      <c r="R2" s="58"/>
      <c r="S2" s="50"/>
      <c r="T2" s="32"/>
      <c r="U2" s="53"/>
      <c r="V2" s="53"/>
      <c r="Y2" s="13"/>
      <c r="Z2" s="13" t="s">
        <v>49</v>
      </c>
      <c r="AA2" s="13" t="str">
        <f>B6</f>
        <v>Provia</v>
      </c>
      <c r="AB2" s="13" t="str">
        <f>C6</f>
        <v>Aeris</v>
      </c>
      <c r="AC2" s="13"/>
      <c r="AD2" s="13"/>
      <c r="AE2" s="13"/>
      <c r="AF2" s="13"/>
      <c r="AG2" s="13"/>
      <c r="AH2" s="13"/>
      <c r="AI2" s="13"/>
      <c r="AJ2" s="24"/>
      <c r="AK2" s="13"/>
      <c r="AL2" s="13"/>
      <c r="AM2" s="13"/>
      <c r="AN2" s="13"/>
      <c r="AO2" s="13"/>
      <c r="AP2" s="13"/>
      <c r="AQ2" s="13"/>
      <c r="AR2" s="13"/>
    </row>
    <row r="3" spans="1:45" x14ac:dyDescent="0.35">
      <c r="A3" s="37"/>
      <c r="B3" s="37"/>
      <c r="C3" s="37"/>
      <c r="D3" s="37" t="s">
        <v>5</v>
      </c>
      <c r="E3" s="37" t="s">
        <v>6</v>
      </c>
      <c r="F3" s="44"/>
      <c r="G3" s="41"/>
      <c r="H3" s="9" t="s">
        <v>7</v>
      </c>
      <c r="I3" s="41"/>
      <c r="J3" s="47"/>
      <c r="K3" s="50"/>
      <c r="L3" s="47"/>
      <c r="M3" s="50"/>
      <c r="N3" s="47"/>
      <c r="O3" s="50"/>
      <c r="P3" s="47"/>
      <c r="Q3" s="50"/>
      <c r="R3" s="58"/>
      <c r="S3" s="50"/>
      <c r="T3" s="32"/>
      <c r="U3" s="53"/>
      <c r="V3" s="53"/>
    </row>
    <row r="4" spans="1:45" ht="15" thickBot="1" x14ac:dyDescent="0.4">
      <c r="A4" s="38"/>
      <c r="B4" s="38"/>
      <c r="C4" s="38"/>
      <c r="D4" s="38"/>
      <c r="E4" s="38"/>
      <c r="F4" s="45"/>
      <c r="G4" s="42"/>
      <c r="H4" s="10" t="s">
        <v>8</v>
      </c>
      <c r="I4" s="42"/>
      <c r="J4" s="48"/>
      <c r="K4" s="51"/>
      <c r="L4" s="48"/>
      <c r="M4" s="51"/>
      <c r="N4" s="48"/>
      <c r="O4" s="51"/>
      <c r="P4" s="48"/>
      <c r="Q4" s="51"/>
      <c r="R4" s="59"/>
      <c r="S4" s="51"/>
      <c r="T4" s="32"/>
      <c r="U4" s="54"/>
      <c r="V4" s="54"/>
    </row>
    <row r="5" spans="1:45" x14ac:dyDescent="0.35">
      <c r="AC5" t="str">
        <f>A10</f>
        <v>DH</v>
      </c>
      <c r="AF5" s="14">
        <f>D10</f>
        <v>15</v>
      </c>
      <c r="AG5" s="14">
        <f>D11</f>
        <v>58</v>
      </c>
      <c r="AH5" s="14">
        <f>E10</f>
        <v>25.75</v>
      </c>
      <c r="AI5" s="14">
        <f>E11</f>
        <v>86</v>
      </c>
      <c r="AJ5" s="22">
        <f>F11</f>
        <v>144</v>
      </c>
      <c r="AK5" s="15">
        <f>G11</f>
        <v>7.35</v>
      </c>
      <c r="AN5" s="15">
        <f>K11</f>
        <v>0.03</v>
      </c>
      <c r="AO5" s="15">
        <f>M11</f>
        <v>0.4</v>
      </c>
      <c r="AP5" s="15">
        <f>O11</f>
        <v>0.02</v>
      </c>
      <c r="AQ5" s="15">
        <f>Q11</f>
        <v>0</v>
      </c>
      <c r="AR5" s="15">
        <f>S11</f>
        <v>0</v>
      </c>
      <c r="AS5" s="15"/>
    </row>
    <row r="6" spans="1:45" x14ac:dyDescent="0.35">
      <c r="B6" t="s">
        <v>9</v>
      </c>
      <c r="C6" t="s">
        <v>24</v>
      </c>
      <c r="D6">
        <v>36</v>
      </c>
      <c r="E6">
        <v>36</v>
      </c>
      <c r="F6" s="1">
        <v>541</v>
      </c>
      <c r="G6" s="1">
        <f>F6/($D6+$E6)</f>
        <v>7.5138888888888893</v>
      </c>
      <c r="I6" s="1">
        <f>(H6-$F6)/($D6+$E6)</f>
        <v>-7.5138888888888893</v>
      </c>
      <c r="J6" s="1">
        <v>573.54</v>
      </c>
      <c r="K6" s="1">
        <f>(J6-$F6)/($D6*$E6)</f>
        <v>2.5108024691357998E-2</v>
      </c>
      <c r="L6" s="1">
        <v>524</v>
      </c>
      <c r="M6" s="1">
        <f>L6/($D6*$E6)</f>
        <v>0.40432098765432101</v>
      </c>
      <c r="N6" s="1">
        <v>559</v>
      </c>
      <c r="O6" s="1">
        <f>(N6-$F6)/($D6*$E6)</f>
        <v>1.3888888888888888E-2</v>
      </c>
      <c r="Q6" s="1">
        <f>(P6-$F6)/($D6*$E6)</f>
        <v>-0.41743827160493829</v>
      </c>
      <c r="S6" s="1">
        <f>(R6-$F6)/($D6+$E6)</f>
        <v>-7.5138888888888893</v>
      </c>
      <c r="U6">
        <v>2.5</v>
      </c>
      <c r="V6">
        <v>3</v>
      </c>
      <c r="AD6">
        <f t="shared" ref="AD6:AE9" si="0">D6</f>
        <v>36</v>
      </c>
      <c r="AE6">
        <f t="shared" si="0"/>
        <v>36</v>
      </c>
      <c r="AK6" s="15">
        <f>G6</f>
        <v>7.5138888888888893</v>
      </c>
      <c r="AL6">
        <f t="shared" ref="AL6:AM6" si="1">U6</f>
        <v>2.5</v>
      </c>
      <c r="AM6">
        <f t="shared" si="1"/>
        <v>3</v>
      </c>
      <c r="AN6" s="15">
        <f>K6</f>
        <v>2.5108024691357998E-2</v>
      </c>
      <c r="AO6" s="15">
        <f>M6</f>
        <v>0.40432098765432101</v>
      </c>
      <c r="AP6" s="15">
        <f>O6</f>
        <v>1.3888888888888888E-2</v>
      </c>
      <c r="AQ6" s="15">
        <f>Q6</f>
        <v>-0.41743827160493829</v>
      </c>
      <c r="AR6" s="15">
        <f>S6</f>
        <v>-7.5138888888888893</v>
      </c>
    </row>
    <row r="7" spans="1:45" x14ac:dyDescent="0.35">
      <c r="B7" t="s">
        <v>23</v>
      </c>
      <c r="D7">
        <v>36</v>
      </c>
      <c r="E7">
        <v>60</v>
      </c>
      <c r="F7" s="1">
        <v>678</v>
      </c>
      <c r="G7" s="1">
        <f t="shared" ref="G7:G9" si="2">F7/($D7+$E7)</f>
        <v>7.0625</v>
      </c>
      <c r="J7" s="1">
        <v>751</v>
      </c>
      <c r="K7" s="1">
        <f t="shared" ref="K7:K45" si="3">(J7-$F7)/($D7*$E7)</f>
        <v>3.3796296296296297E-2</v>
      </c>
      <c r="L7" s="1">
        <v>664</v>
      </c>
      <c r="M7" s="1">
        <f t="shared" ref="M7:M9" si="4">L7/($D7*$E7)</f>
        <v>0.30740740740740741</v>
      </c>
      <c r="N7" s="1">
        <v>711</v>
      </c>
      <c r="O7" s="1">
        <f t="shared" ref="O7:Q29" si="5">(N7-$F7)/($D7*$E7)</f>
        <v>1.5277777777777777E-2</v>
      </c>
      <c r="Q7" s="1">
        <f t="shared" si="5"/>
        <v>-0.31388888888888888</v>
      </c>
      <c r="S7" s="1">
        <f t="shared" ref="S7:S18" si="6">(R7-$F7)/($D7+$E7)</f>
        <v>-7.0625</v>
      </c>
      <c r="U7">
        <v>2.5</v>
      </c>
      <c r="V7">
        <v>3</v>
      </c>
      <c r="AD7">
        <f t="shared" si="0"/>
        <v>36</v>
      </c>
      <c r="AE7">
        <f t="shared" si="0"/>
        <v>60</v>
      </c>
      <c r="AK7" s="15">
        <f>G7</f>
        <v>7.0625</v>
      </c>
      <c r="AL7">
        <f t="shared" ref="AL7:AL9" si="7">U7</f>
        <v>2.5</v>
      </c>
      <c r="AM7">
        <f t="shared" ref="AM7:AM9" si="8">V7</f>
        <v>3</v>
      </c>
      <c r="AN7" s="15">
        <f>K7</f>
        <v>3.3796296296296297E-2</v>
      </c>
      <c r="AO7" s="15">
        <f>M7</f>
        <v>0.30740740740740741</v>
      </c>
      <c r="AP7" s="15">
        <f>O7</f>
        <v>1.5277777777777777E-2</v>
      </c>
      <c r="AQ7" s="15">
        <f>Q7</f>
        <v>-0.31388888888888888</v>
      </c>
      <c r="AR7" s="15">
        <f>S7</f>
        <v>-7.0625</v>
      </c>
    </row>
    <row r="8" spans="1:45" x14ac:dyDescent="0.35">
      <c r="D8">
        <v>36</v>
      </c>
      <c r="E8">
        <v>72</v>
      </c>
      <c r="F8" s="1">
        <v>793</v>
      </c>
      <c r="G8" s="1">
        <f t="shared" si="2"/>
        <v>7.3425925925925926</v>
      </c>
      <c r="J8" s="1">
        <v>867</v>
      </c>
      <c r="K8" s="1">
        <f t="shared" si="3"/>
        <v>2.8549382716049381E-2</v>
      </c>
      <c r="L8" s="1">
        <v>780</v>
      </c>
      <c r="M8" s="1">
        <f t="shared" si="4"/>
        <v>0.30092592592592593</v>
      </c>
      <c r="N8" s="1">
        <v>826</v>
      </c>
      <c r="O8" s="1">
        <f t="shared" si="5"/>
        <v>1.2731481481481481E-2</v>
      </c>
      <c r="Q8" s="1">
        <f t="shared" si="5"/>
        <v>-0.30594135802469136</v>
      </c>
      <c r="S8" s="1">
        <f t="shared" si="6"/>
        <v>-7.3425925925925926</v>
      </c>
      <c r="U8">
        <v>2.5</v>
      </c>
      <c r="V8">
        <v>3</v>
      </c>
      <c r="AD8">
        <f t="shared" si="0"/>
        <v>36</v>
      </c>
      <c r="AE8">
        <f t="shared" si="0"/>
        <v>72</v>
      </c>
      <c r="AK8" s="15">
        <f>G8</f>
        <v>7.3425925925925926</v>
      </c>
      <c r="AL8">
        <f t="shared" si="7"/>
        <v>2.5</v>
      </c>
      <c r="AM8">
        <f t="shared" si="8"/>
        <v>3</v>
      </c>
      <c r="AN8" s="15">
        <f>K8</f>
        <v>2.8549382716049381E-2</v>
      </c>
      <c r="AO8" s="15">
        <f>M8</f>
        <v>0.30092592592592593</v>
      </c>
      <c r="AP8" s="15">
        <f>O8</f>
        <v>1.2731481481481481E-2</v>
      </c>
      <c r="AQ8" s="15">
        <f>Q8</f>
        <v>-0.30594135802469136</v>
      </c>
      <c r="AR8" s="15">
        <f>S8</f>
        <v>-7.3425925925925926</v>
      </c>
    </row>
    <row r="9" spans="1:45" ht="15" thickBot="1" x14ac:dyDescent="0.4">
      <c r="D9">
        <v>42</v>
      </c>
      <c r="E9">
        <v>79</v>
      </c>
      <c r="F9" s="1">
        <v>812</v>
      </c>
      <c r="G9" s="1">
        <f t="shared" si="2"/>
        <v>6.7107438016528924</v>
      </c>
      <c r="J9" s="1">
        <v>885</v>
      </c>
      <c r="K9" s="1">
        <f t="shared" si="3"/>
        <v>2.2001205545509342E-2</v>
      </c>
      <c r="L9" s="1">
        <v>798</v>
      </c>
      <c r="M9" s="1">
        <f t="shared" si="4"/>
        <v>0.24050632911392406</v>
      </c>
      <c r="N9" s="1">
        <v>845</v>
      </c>
      <c r="O9" s="1">
        <f t="shared" si="5"/>
        <v>9.9457504520795662E-3</v>
      </c>
      <c r="Q9" s="1">
        <f t="shared" si="5"/>
        <v>-0.24472573839662448</v>
      </c>
      <c r="S9" s="1">
        <f t="shared" si="6"/>
        <v>-6.7107438016528924</v>
      </c>
      <c r="U9">
        <v>2.5</v>
      </c>
      <c r="V9">
        <v>3</v>
      </c>
      <c r="AD9">
        <f t="shared" si="0"/>
        <v>42</v>
      </c>
      <c r="AE9">
        <f t="shared" si="0"/>
        <v>79</v>
      </c>
      <c r="AK9" s="15">
        <f>G9</f>
        <v>6.7107438016528924</v>
      </c>
      <c r="AL9">
        <f t="shared" si="7"/>
        <v>2.5</v>
      </c>
      <c r="AM9">
        <f t="shared" si="8"/>
        <v>3</v>
      </c>
      <c r="AN9" s="15">
        <f>K9</f>
        <v>2.2001205545509342E-2</v>
      </c>
      <c r="AO9" s="15">
        <f>M9</f>
        <v>0.24050632911392406</v>
      </c>
      <c r="AP9" s="15">
        <f>O9</f>
        <v>9.9457504520795662E-3</v>
      </c>
      <c r="AQ9" s="15">
        <f>Q9</f>
        <v>-0.24472573839662448</v>
      </c>
      <c r="AR9" s="15">
        <f>S9</f>
        <v>-6.7107438016528924</v>
      </c>
    </row>
    <row r="10" spans="1:45" ht="15" thickBot="1" x14ac:dyDescent="0.4">
      <c r="A10" s="4" t="s">
        <v>11</v>
      </c>
      <c r="B10" s="7" t="s">
        <v>12</v>
      </c>
      <c r="C10" s="27" t="s">
        <v>13</v>
      </c>
      <c r="D10" s="12">
        <v>15</v>
      </c>
      <c r="E10" s="12">
        <v>25.75</v>
      </c>
      <c r="F10" s="28" t="s">
        <v>60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4"/>
      <c r="S10" s="5"/>
      <c r="U10" s="4"/>
      <c r="V10" s="4"/>
    </row>
    <row r="11" spans="1:45" ht="15" thickBot="1" x14ac:dyDescent="0.4">
      <c r="A11" s="4"/>
      <c r="B11" s="8"/>
      <c r="C11" s="27" t="s">
        <v>14</v>
      </c>
      <c r="D11" s="12">
        <v>58</v>
      </c>
      <c r="E11" s="12">
        <v>86</v>
      </c>
      <c r="F11" s="25">
        <v>144</v>
      </c>
      <c r="G11" s="3">
        <v>7.35</v>
      </c>
      <c r="H11" s="5"/>
      <c r="I11" s="3"/>
      <c r="J11" s="5"/>
      <c r="K11" s="3">
        <v>0.03</v>
      </c>
      <c r="L11" s="5"/>
      <c r="M11" s="3">
        <v>0.4</v>
      </c>
      <c r="N11" s="5"/>
      <c r="O11" s="3">
        <v>0.02</v>
      </c>
      <c r="P11" s="5"/>
      <c r="Q11" s="3"/>
      <c r="R11" s="4"/>
      <c r="S11" s="3"/>
      <c r="U11" s="4"/>
      <c r="V11" s="4"/>
    </row>
    <row r="12" spans="1:45" x14ac:dyDescent="0.35">
      <c r="A12" s="4"/>
      <c r="B12" s="4"/>
      <c r="C12" s="4"/>
      <c r="D12" s="4"/>
      <c r="E12" s="4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4"/>
      <c r="S12" s="5"/>
      <c r="U12" s="4"/>
      <c r="V12" s="4"/>
      <c r="AC12" t="str">
        <f>A19</f>
        <v>2LS</v>
      </c>
      <c r="AF12" s="14">
        <f>D19</f>
        <v>22.75</v>
      </c>
      <c r="AG12" s="14">
        <f>D20</f>
        <v>75</v>
      </c>
      <c r="AH12" s="14">
        <f>E19</f>
        <v>19.5</v>
      </c>
      <c r="AI12" s="14">
        <f>E20</f>
        <v>65</v>
      </c>
      <c r="AJ12" s="22">
        <f>F20</f>
        <v>140</v>
      </c>
      <c r="AK12" s="15">
        <f>G20</f>
        <v>6.7</v>
      </c>
      <c r="AN12" s="15">
        <f>K20</f>
        <v>0.06</v>
      </c>
      <c r="AO12" s="15">
        <f>M20</f>
        <v>0.37</v>
      </c>
      <c r="AP12" s="15">
        <f>O20</f>
        <v>0.03</v>
      </c>
      <c r="AQ12" s="15">
        <f>Q20</f>
        <v>0</v>
      </c>
      <c r="AR12" s="15">
        <f>S20</f>
        <v>0</v>
      </c>
    </row>
    <row r="13" spans="1:45" x14ac:dyDescent="0.35">
      <c r="D13">
        <v>36</v>
      </c>
      <c r="E13">
        <v>36</v>
      </c>
      <c r="F13" s="1">
        <v>474</v>
      </c>
      <c r="G13" s="1">
        <f t="shared" ref="G13:G45" si="9">F13/($D13+$E13)</f>
        <v>6.583333333333333</v>
      </c>
      <c r="J13" s="1">
        <v>531</v>
      </c>
      <c r="K13" s="1">
        <f t="shared" si="3"/>
        <v>4.3981481481481483E-2</v>
      </c>
      <c r="L13" s="1">
        <v>480</v>
      </c>
      <c r="M13" s="1">
        <f t="shared" ref="M13:M45" si="10">L13/($D13*$E13)</f>
        <v>0.37037037037037035</v>
      </c>
      <c r="N13" s="1">
        <v>494</v>
      </c>
      <c r="O13" s="1">
        <f t="shared" si="5"/>
        <v>1.5432098765432098E-2</v>
      </c>
      <c r="Q13" s="1">
        <f t="shared" si="5"/>
        <v>-0.36574074074074076</v>
      </c>
      <c r="S13" s="1">
        <f t="shared" si="6"/>
        <v>-6.583333333333333</v>
      </c>
      <c r="U13">
        <v>2.5</v>
      </c>
      <c r="V13">
        <v>3</v>
      </c>
      <c r="AD13">
        <f t="shared" ref="AD13:AE18" si="11">D13</f>
        <v>36</v>
      </c>
      <c r="AE13">
        <f t="shared" si="11"/>
        <v>36</v>
      </c>
      <c r="AK13" s="15">
        <f t="shared" ref="AK13:AK18" si="12">G13</f>
        <v>6.583333333333333</v>
      </c>
      <c r="AL13">
        <f t="shared" ref="AL13:AL18" si="13">U13</f>
        <v>2.5</v>
      </c>
      <c r="AM13">
        <f t="shared" ref="AM13:AM18" si="14">V13</f>
        <v>3</v>
      </c>
      <c r="AN13" s="15">
        <f t="shared" ref="AN13:AN18" si="15">K13</f>
        <v>4.3981481481481483E-2</v>
      </c>
      <c r="AO13" s="15">
        <f t="shared" ref="AO13:AO18" si="16">M13</f>
        <v>0.37037037037037035</v>
      </c>
      <c r="AP13" s="15">
        <f t="shared" ref="AP13:AP18" si="17">O13</f>
        <v>1.5432098765432098E-2</v>
      </c>
      <c r="AQ13" s="15">
        <f t="shared" ref="AQ13:AQ18" si="18">Q13</f>
        <v>-0.36574074074074076</v>
      </c>
      <c r="AR13" s="15">
        <f t="shared" ref="AR13:AR18" si="19">S13</f>
        <v>-6.583333333333333</v>
      </c>
    </row>
    <row r="14" spans="1:45" x14ac:dyDescent="0.35">
      <c r="D14">
        <v>48</v>
      </c>
      <c r="E14">
        <v>36</v>
      </c>
      <c r="F14" s="1">
        <v>564</v>
      </c>
      <c r="G14" s="1">
        <f t="shared" si="9"/>
        <v>6.7142857142857144</v>
      </c>
      <c r="J14" s="1">
        <v>655</v>
      </c>
      <c r="K14" s="1">
        <f t="shared" si="3"/>
        <v>5.2662037037037035E-2</v>
      </c>
      <c r="L14" s="1">
        <v>568</v>
      </c>
      <c r="M14" s="1">
        <f t="shared" si="10"/>
        <v>0.32870370370370372</v>
      </c>
      <c r="N14" s="1">
        <v>613</v>
      </c>
      <c r="O14" s="1">
        <f t="shared" si="5"/>
        <v>2.8356481481481483E-2</v>
      </c>
      <c r="Q14" s="1">
        <f t="shared" si="5"/>
        <v>-0.3263888888888889</v>
      </c>
      <c r="S14" s="1">
        <f t="shared" si="6"/>
        <v>-6.7142857142857144</v>
      </c>
      <c r="U14">
        <v>2.5</v>
      </c>
      <c r="V14">
        <v>3</v>
      </c>
      <c r="AD14">
        <f t="shared" si="11"/>
        <v>48</v>
      </c>
      <c r="AE14">
        <f t="shared" si="11"/>
        <v>36</v>
      </c>
      <c r="AK14" s="15">
        <f t="shared" si="12"/>
        <v>6.7142857142857144</v>
      </c>
      <c r="AL14">
        <f t="shared" si="13"/>
        <v>2.5</v>
      </c>
      <c r="AM14">
        <f t="shared" si="14"/>
        <v>3</v>
      </c>
      <c r="AN14" s="15">
        <f t="shared" si="15"/>
        <v>5.2662037037037035E-2</v>
      </c>
      <c r="AO14" s="15">
        <f t="shared" si="16"/>
        <v>0.32870370370370372</v>
      </c>
      <c r="AP14" s="15">
        <f t="shared" si="17"/>
        <v>2.8356481481481483E-2</v>
      </c>
      <c r="AQ14" s="15">
        <f t="shared" si="18"/>
        <v>-0.3263888888888889</v>
      </c>
      <c r="AR14" s="15">
        <f t="shared" si="19"/>
        <v>-6.7142857142857144</v>
      </c>
    </row>
    <row r="15" spans="1:45" x14ac:dyDescent="0.35">
      <c r="D15">
        <v>60</v>
      </c>
      <c r="E15">
        <v>36</v>
      </c>
      <c r="F15" s="1">
        <v>637</v>
      </c>
      <c r="G15" s="1">
        <f t="shared" si="9"/>
        <v>6.635416666666667</v>
      </c>
      <c r="J15" s="1">
        <v>718</v>
      </c>
      <c r="K15" s="1">
        <f t="shared" si="3"/>
        <v>3.7499999999999999E-2</v>
      </c>
      <c r="L15" s="1">
        <v>631</v>
      </c>
      <c r="M15" s="1">
        <f t="shared" si="10"/>
        <v>0.29212962962962963</v>
      </c>
      <c r="N15" s="1">
        <v>686</v>
      </c>
      <c r="O15" s="1">
        <f t="shared" si="5"/>
        <v>2.2685185185185187E-2</v>
      </c>
      <c r="Q15" s="1">
        <f t="shared" si="5"/>
        <v>-0.2949074074074074</v>
      </c>
      <c r="S15" s="1">
        <f t="shared" si="6"/>
        <v>-6.635416666666667</v>
      </c>
      <c r="U15">
        <v>2.5</v>
      </c>
      <c r="V15">
        <v>3</v>
      </c>
      <c r="AD15">
        <f t="shared" si="11"/>
        <v>60</v>
      </c>
      <c r="AE15">
        <f t="shared" si="11"/>
        <v>36</v>
      </c>
      <c r="AK15" s="15">
        <f t="shared" si="12"/>
        <v>6.635416666666667</v>
      </c>
      <c r="AL15">
        <f t="shared" si="13"/>
        <v>2.5</v>
      </c>
      <c r="AM15">
        <f t="shared" si="14"/>
        <v>3</v>
      </c>
      <c r="AN15" s="15">
        <f t="shared" si="15"/>
        <v>3.7499999999999999E-2</v>
      </c>
      <c r="AO15" s="15">
        <f t="shared" si="16"/>
        <v>0.29212962962962963</v>
      </c>
      <c r="AP15" s="15">
        <f t="shared" si="17"/>
        <v>2.2685185185185187E-2</v>
      </c>
      <c r="AQ15" s="15">
        <f t="shared" si="18"/>
        <v>-0.2949074074074074</v>
      </c>
      <c r="AR15" s="15">
        <f t="shared" si="19"/>
        <v>-6.635416666666667</v>
      </c>
    </row>
    <row r="16" spans="1:45" x14ac:dyDescent="0.35">
      <c r="D16">
        <v>72</v>
      </c>
      <c r="E16">
        <v>36</v>
      </c>
      <c r="F16" s="1">
        <v>718</v>
      </c>
      <c r="G16" s="1">
        <f t="shared" si="9"/>
        <v>6.6481481481481479</v>
      </c>
      <c r="J16" s="1">
        <v>800</v>
      </c>
      <c r="K16" s="1">
        <f t="shared" si="3"/>
        <v>3.1635802469135804E-2</v>
      </c>
      <c r="L16" s="1">
        <v>713</v>
      </c>
      <c r="M16" s="1">
        <f t="shared" si="10"/>
        <v>0.27507716049382713</v>
      </c>
      <c r="N16" s="1">
        <v>768</v>
      </c>
      <c r="O16" s="1">
        <f t="shared" si="5"/>
        <v>1.9290123456790122E-2</v>
      </c>
      <c r="Q16" s="1">
        <f t="shared" si="5"/>
        <v>-0.27700617283950618</v>
      </c>
      <c r="S16" s="1">
        <f t="shared" si="6"/>
        <v>-6.6481481481481479</v>
      </c>
      <c r="U16">
        <v>2.5</v>
      </c>
      <c r="V16">
        <v>3</v>
      </c>
      <c r="AD16">
        <f t="shared" si="11"/>
        <v>72</v>
      </c>
      <c r="AE16">
        <f t="shared" si="11"/>
        <v>36</v>
      </c>
      <c r="AK16" s="15">
        <f t="shared" si="12"/>
        <v>6.6481481481481479</v>
      </c>
      <c r="AL16">
        <f t="shared" si="13"/>
        <v>2.5</v>
      </c>
      <c r="AM16">
        <f t="shared" si="14"/>
        <v>3</v>
      </c>
      <c r="AN16" s="15">
        <f t="shared" si="15"/>
        <v>3.1635802469135804E-2</v>
      </c>
      <c r="AO16" s="15">
        <f t="shared" si="16"/>
        <v>0.27507716049382713</v>
      </c>
      <c r="AP16" s="15">
        <f t="shared" si="17"/>
        <v>1.9290123456790122E-2</v>
      </c>
      <c r="AQ16" s="15">
        <f t="shared" si="18"/>
        <v>-0.27700617283950618</v>
      </c>
      <c r="AR16" s="15">
        <f t="shared" si="19"/>
        <v>-6.6481481481481479</v>
      </c>
    </row>
    <row r="17" spans="1:44" x14ac:dyDescent="0.35">
      <c r="D17">
        <v>60</v>
      </c>
      <c r="E17">
        <v>60</v>
      </c>
      <c r="F17" s="1">
        <v>842</v>
      </c>
      <c r="G17" s="1">
        <f t="shared" si="9"/>
        <v>7.0166666666666666</v>
      </c>
      <c r="J17" s="1">
        <v>887</v>
      </c>
      <c r="K17" s="1">
        <f t="shared" si="3"/>
        <v>1.2500000000000001E-2</v>
      </c>
      <c r="L17" s="1">
        <v>800</v>
      </c>
      <c r="M17" s="1">
        <f t="shared" si="10"/>
        <v>0.22222222222222221</v>
      </c>
      <c r="N17" s="1">
        <v>891</v>
      </c>
      <c r="O17" s="1">
        <f t="shared" si="5"/>
        <v>1.361111111111111E-2</v>
      </c>
      <c r="Q17" s="1">
        <f t="shared" si="5"/>
        <v>-0.2338888888888889</v>
      </c>
      <c r="S17" s="1">
        <f t="shared" si="6"/>
        <v>-7.0166666666666666</v>
      </c>
      <c r="U17">
        <v>2.5</v>
      </c>
      <c r="V17">
        <v>3</v>
      </c>
      <c r="AD17">
        <f t="shared" si="11"/>
        <v>60</v>
      </c>
      <c r="AE17">
        <f t="shared" si="11"/>
        <v>60</v>
      </c>
      <c r="AK17" s="15">
        <f t="shared" si="12"/>
        <v>7.0166666666666666</v>
      </c>
      <c r="AL17">
        <f t="shared" si="13"/>
        <v>2.5</v>
      </c>
      <c r="AM17">
        <f t="shared" si="14"/>
        <v>3</v>
      </c>
      <c r="AN17" s="15">
        <f t="shared" si="15"/>
        <v>1.2500000000000001E-2</v>
      </c>
      <c r="AO17" s="15">
        <f t="shared" si="16"/>
        <v>0.22222222222222221</v>
      </c>
      <c r="AP17" s="15">
        <f t="shared" si="17"/>
        <v>1.361111111111111E-2</v>
      </c>
      <c r="AQ17" s="15">
        <f t="shared" si="18"/>
        <v>-0.2338888888888889</v>
      </c>
      <c r="AR17" s="15">
        <f t="shared" si="19"/>
        <v>-7.0166666666666666</v>
      </c>
    </row>
    <row r="18" spans="1:44" ht="15" thickBot="1" x14ac:dyDescent="0.4">
      <c r="D18">
        <v>70</v>
      </c>
      <c r="E18">
        <v>65</v>
      </c>
      <c r="F18" s="1">
        <v>932</v>
      </c>
      <c r="G18" s="1">
        <f t="shared" si="9"/>
        <v>6.9037037037037035</v>
      </c>
      <c r="J18" s="1">
        <v>1198</v>
      </c>
      <c r="K18" s="1">
        <f t="shared" si="3"/>
        <v>5.8461538461538461E-2</v>
      </c>
      <c r="L18" s="1">
        <v>890</v>
      </c>
      <c r="M18" s="1">
        <f t="shared" si="10"/>
        <v>0.1956043956043956</v>
      </c>
      <c r="N18" s="1">
        <v>982</v>
      </c>
      <c r="O18" s="1">
        <f t="shared" si="5"/>
        <v>1.098901098901099E-2</v>
      </c>
      <c r="Q18" s="1">
        <f t="shared" si="5"/>
        <v>-0.20483516483516484</v>
      </c>
      <c r="S18" s="1">
        <f t="shared" si="6"/>
        <v>-6.9037037037037035</v>
      </c>
      <c r="U18">
        <v>2.5</v>
      </c>
      <c r="V18">
        <v>3</v>
      </c>
      <c r="AD18">
        <f t="shared" si="11"/>
        <v>70</v>
      </c>
      <c r="AE18">
        <f t="shared" si="11"/>
        <v>65</v>
      </c>
      <c r="AK18" s="15">
        <f t="shared" si="12"/>
        <v>6.9037037037037035</v>
      </c>
      <c r="AL18">
        <f t="shared" si="13"/>
        <v>2.5</v>
      </c>
      <c r="AM18">
        <f t="shared" si="14"/>
        <v>3</v>
      </c>
      <c r="AN18" s="15">
        <f t="shared" si="15"/>
        <v>5.8461538461538461E-2</v>
      </c>
      <c r="AO18" s="15">
        <f t="shared" si="16"/>
        <v>0.1956043956043956</v>
      </c>
      <c r="AP18" s="15">
        <f t="shared" si="17"/>
        <v>1.098901098901099E-2</v>
      </c>
      <c r="AQ18" s="15">
        <f t="shared" si="18"/>
        <v>-0.20483516483516484</v>
      </c>
      <c r="AR18" s="15">
        <f t="shared" si="19"/>
        <v>-6.9037037037037035</v>
      </c>
    </row>
    <row r="19" spans="1:44" ht="15" thickBot="1" x14ac:dyDescent="0.4">
      <c r="A19" s="4" t="s">
        <v>15</v>
      </c>
      <c r="B19" s="7" t="s">
        <v>12</v>
      </c>
      <c r="C19" s="27" t="s">
        <v>13</v>
      </c>
      <c r="D19" s="11">
        <v>22.75</v>
      </c>
      <c r="E19" s="11">
        <v>19.5</v>
      </c>
      <c r="F19" s="28" t="s">
        <v>60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4"/>
      <c r="S19" s="5"/>
      <c r="U19" s="4"/>
      <c r="V19" s="4"/>
    </row>
    <row r="20" spans="1:44" ht="15" thickBot="1" x14ac:dyDescent="0.4">
      <c r="A20" s="4"/>
      <c r="B20" s="8"/>
      <c r="C20" s="27" t="s">
        <v>14</v>
      </c>
      <c r="D20" s="11">
        <v>75</v>
      </c>
      <c r="E20" s="11">
        <v>65</v>
      </c>
      <c r="F20" s="25">
        <v>140</v>
      </c>
      <c r="G20" s="3">
        <v>6.7</v>
      </c>
      <c r="H20" s="5"/>
      <c r="I20" s="3"/>
      <c r="J20" s="5"/>
      <c r="K20" s="3">
        <v>0.06</v>
      </c>
      <c r="L20" s="5"/>
      <c r="M20" s="3">
        <v>0.37</v>
      </c>
      <c r="N20" s="5"/>
      <c r="O20" s="3">
        <v>0.03</v>
      </c>
      <c r="P20" s="5"/>
      <c r="Q20" s="3"/>
      <c r="R20" s="4"/>
      <c r="S20" s="3"/>
      <c r="U20" s="4"/>
      <c r="V20" s="4"/>
    </row>
    <row r="21" spans="1:44" x14ac:dyDescent="0.35">
      <c r="A21" s="4"/>
      <c r="B21" s="4"/>
      <c r="C21" s="4"/>
      <c r="D21" s="4"/>
      <c r="E21" s="4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4"/>
      <c r="S21" s="5"/>
      <c r="U21" s="4"/>
      <c r="V21" s="4"/>
      <c r="AC21" t="str">
        <f>A26</f>
        <v>3LS</v>
      </c>
      <c r="AF21" s="14">
        <f>D26</f>
        <v>47.75</v>
      </c>
      <c r="AG21" s="14">
        <f>D27</f>
        <v>120</v>
      </c>
      <c r="AH21" s="14">
        <f>E26</f>
        <v>19.5</v>
      </c>
      <c r="AI21" s="14">
        <f>E27</f>
        <v>65</v>
      </c>
      <c r="AJ21" s="22">
        <f>F20</f>
        <v>140</v>
      </c>
      <c r="AK21" s="15">
        <f>G27</f>
        <v>8.1</v>
      </c>
      <c r="AN21" s="15">
        <f>K27</f>
        <v>0.06</v>
      </c>
      <c r="AO21" s="15">
        <f>M27</f>
        <v>0.3</v>
      </c>
      <c r="AP21" s="15">
        <f>O27</f>
        <v>0.02</v>
      </c>
      <c r="AQ21" s="15">
        <f>Q27</f>
        <v>0</v>
      </c>
      <c r="AR21" s="15">
        <f>S27</f>
        <v>0</v>
      </c>
    </row>
    <row r="22" spans="1:44" x14ac:dyDescent="0.35">
      <c r="D22">
        <v>72</v>
      </c>
      <c r="E22">
        <v>36</v>
      </c>
      <c r="F22" s="1">
        <v>798</v>
      </c>
      <c r="G22" s="1">
        <f t="shared" si="9"/>
        <v>7.3888888888888893</v>
      </c>
      <c r="J22" s="1">
        <v>925</v>
      </c>
      <c r="K22" s="1">
        <f t="shared" si="3"/>
        <v>4.8996913580246916E-2</v>
      </c>
      <c r="L22" s="1">
        <v>776</v>
      </c>
      <c r="M22" s="1">
        <f t="shared" si="10"/>
        <v>0.29938271604938271</v>
      </c>
      <c r="N22" s="1">
        <v>827</v>
      </c>
      <c r="O22" s="1">
        <f t="shared" si="5"/>
        <v>1.1188271604938271E-2</v>
      </c>
      <c r="Q22" s="1">
        <f t="shared" si="5"/>
        <v>-0.30787037037037035</v>
      </c>
      <c r="S22" s="1">
        <f t="shared" ref="S22:S25" si="20">(R22-$F22)/($D22+$E22)</f>
        <v>-7.3888888888888893</v>
      </c>
      <c r="U22">
        <v>2.5</v>
      </c>
      <c r="V22">
        <v>3</v>
      </c>
      <c r="AD22">
        <f t="shared" ref="AD22:AE25" si="21">D22</f>
        <v>72</v>
      </c>
      <c r="AE22">
        <f t="shared" si="21"/>
        <v>36</v>
      </c>
      <c r="AK22" s="15">
        <f>G22</f>
        <v>7.3888888888888893</v>
      </c>
      <c r="AL22">
        <f t="shared" ref="AL22:AL25" si="22">U22</f>
        <v>2.5</v>
      </c>
      <c r="AM22">
        <f t="shared" ref="AM22:AM25" si="23">V22</f>
        <v>3</v>
      </c>
      <c r="AN22" s="15">
        <f>K22</f>
        <v>4.8996913580246916E-2</v>
      </c>
      <c r="AO22" s="15">
        <f>M22</f>
        <v>0.29938271604938271</v>
      </c>
      <c r="AP22" s="15">
        <f>O22</f>
        <v>1.1188271604938271E-2</v>
      </c>
      <c r="AQ22" s="15">
        <f>Q22</f>
        <v>-0.30787037037037035</v>
      </c>
      <c r="AR22" s="15">
        <f>S22</f>
        <v>-7.3888888888888893</v>
      </c>
    </row>
    <row r="23" spans="1:44" x14ac:dyDescent="0.35">
      <c r="D23">
        <v>72</v>
      </c>
      <c r="E23">
        <v>60</v>
      </c>
      <c r="F23" s="1">
        <v>1057</v>
      </c>
      <c r="G23" s="1">
        <f t="shared" si="9"/>
        <v>8.0075757575757578</v>
      </c>
      <c r="J23" s="1">
        <v>1297</v>
      </c>
      <c r="K23" s="1">
        <f t="shared" si="3"/>
        <v>5.5555555555555552E-2</v>
      </c>
      <c r="L23" s="1">
        <v>1008</v>
      </c>
      <c r="M23" s="1">
        <f t="shared" si="10"/>
        <v>0.23333333333333334</v>
      </c>
      <c r="N23" s="1">
        <v>1130</v>
      </c>
      <c r="O23" s="1">
        <f t="shared" si="5"/>
        <v>1.6898148148148148E-2</v>
      </c>
      <c r="Q23" s="1">
        <f t="shared" si="5"/>
        <v>-0.24467592592592594</v>
      </c>
      <c r="S23" s="1">
        <f t="shared" si="20"/>
        <v>-8.0075757575757578</v>
      </c>
      <c r="U23">
        <v>2.5</v>
      </c>
      <c r="V23">
        <v>3</v>
      </c>
      <c r="AD23">
        <f t="shared" si="21"/>
        <v>72</v>
      </c>
      <c r="AE23">
        <f t="shared" si="21"/>
        <v>60</v>
      </c>
      <c r="AK23" s="15">
        <f>G23</f>
        <v>8.0075757575757578</v>
      </c>
      <c r="AL23">
        <f t="shared" si="22"/>
        <v>2.5</v>
      </c>
      <c r="AM23">
        <f t="shared" si="23"/>
        <v>3</v>
      </c>
      <c r="AN23" s="15">
        <f>K23</f>
        <v>5.5555555555555552E-2</v>
      </c>
      <c r="AO23" s="15">
        <f>M23</f>
        <v>0.23333333333333334</v>
      </c>
      <c r="AP23" s="15">
        <f>O23</f>
        <v>1.6898148148148148E-2</v>
      </c>
      <c r="AQ23" s="15">
        <f>Q23</f>
        <v>-0.24467592592592594</v>
      </c>
      <c r="AR23" s="15">
        <f>S23</f>
        <v>-8.0075757575757578</v>
      </c>
    </row>
    <row r="24" spans="1:44" x14ac:dyDescent="0.35">
      <c r="D24">
        <v>96</v>
      </c>
      <c r="E24">
        <v>60</v>
      </c>
      <c r="F24" s="1">
        <v>1273</v>
      </c>
      <c r="G24" s="1">
        <f t="shared" si="9"/>
        <v>8.1602564102564106</v>
      </c>
      <c r="J24" s="1">
        <v>1513</v>
      </c>
      <c r="K24" s="1">
        <f t="shared" si="3"/>
        <v>4.1666666666666664E-2</v>
      </c>
      <c r="L24" s="1">
        <v>1225</v>
      </c>
      <c r="M24" s="1">
        <f t="shared" si="10"/>
        <v>0.2126736111111111</v>
      </c>
      <c r="N24" s="1">
        <v>1347</v>
      </c>
      <c r="O24" s="1">
        <f t="shared" si="5"/>
        <v>1.2847222222222222E-2</v>
      </c>
      <c r="Q24" s="1">
        <f t="shared" si="5"/>
        <v>-0.22100694444444444</v>
      </c>
      <c r="S24" s="1">
        <f t="shared" si="20"/>
        <v>-8.1602564102564106</v>
      </c>
      <c r="U24">
        <v>3</v>
      </c>
      <c r="V24">
        <v>3.5</v>
      </c>
      <c r="AD24">
        <f t="shared" si="21"/>
        <v>96</v>
      </c>
      <c r="AE24">
        <f t="shared" si="21"/>
        <v>60</v>
      </c>
      <c r="AK24" s="15">
        <f>G24</f>
        <v>8.1602564102564106</v>
      </c>
      <c r="AL24">
        <f t="shared" si="22"/>
        <v>3</v>
      </c>
      <c r="AM24">
        <f t="shared" si="23"/>
        <v>3.5</v>
      </c>
      <c r="AN24" s="15">
        <f>K24</f>
        <v>4.1666666666666664E-2</v>
      </c>
      <c r="AO24" s="15">
        <f>M24</f>
        <v>0.2126736111111111</v>
      </c>
      <c r="AP24" s="15">
        <f>O24</f>
        <v>1.2847222222222222E-2</v>
      </c>
      <c r="AQ24" s="15">
        <f>Q24</f>
        <v>-0.22100694444444444</v>
      </c>
      <c r="AR24" s="15">
        <f>S24</f>
        <v>-8.1602564102564106</v>
      </c>
    </row>
    <row r="25" spans="1:44" ht="15" thickBot="1" x14ac:dyDescent="0.4">
      <c r="D25">
        <v>110</v>
      </c>
      <c r="E25">
        <v>65</v>
      </c>
      <c r="F25" s="1">
        <v>1496</v>
      </c>
      <c r="G25" s="1">
        <f t="shared" si="9"/>
        <v>8.548571428571428</v>
      </c>
      <c r="J25" s="1">
        <v>1801</v>
      </c>
      <c r="K25" s="1">
        <f t="shared" si="3"/>
        <v>4.265734265734266E-2</v>
      </c>
      <c r="L25" s="1">
        <v>1339</v>
      </c>
      <c r="M25" s="1">
        <f t="shared" si="10"/>
        <v>0.18727272727272729</v>
      </c>
      <c r="N25" s="1">
        <v>1569</v>
      </c>
      <c r="O25" s="1">
        <f t="shared" si="5"/>
        <v>1.0209790209790209E-2</v>
      </c>
      <c r="Q25" s="1">
        <f t="shared" si="5"/>
        <v>-0.20923076923076922</v>
      </c>
      <c r="S25" s="1">
        <f t="shared" si="20"/>
        <v>-8.548571428571428</v>
      </c>
      <c r="U25">
        <v>3</v>
      </c>
      <c r="V25">
        <v>3.5</v>
      </c>
      <c r="AD25">
        <f t="shared" si="21"/>
        <v>110</v>
      </c>
      <c r="AE25">
        <f t="shared" si="21"/>
        <v>65</v>
      </c>
      <c r="AK25" s="15">
        <f>G25</f>
        <v>8.548571428571428</v>
      </c>
      <c r="AL25">
        <f t="shared" si="22"/>
        <v>3</v>
      </c>
      <c r="AM25">
        <f t="shared" si="23"/>
        <v>3.5</v>
      </c>
      <c r="AN25" s="15">
        <f>K25</f>
        <v>4.265734265734266E-2</v>
      </c>
      <c r="AO25" s="15">
        <f>M25</f>
        <v>0.18727272727272729</v>
      </c>
      <c r="AP25" s="15">
        <f>O25</f>
        <v>1.0209790209790209E-2</v>
      </c>
      <c r="AQ25" s="15">
        <f>Q25</f>
        <v>-0.20923076923076922</v>
      </c>
      <c r="AR25" s="15">
        <f>S25</f>
        <v>-8.548571428571428</v>
      </c>
    </row>
    <row r="26" spans="1:44" ht="15" thickBot="1" x14ac:dyDescent="0.4">
      <c r="A26" s="4" t="s">
        <v>16</v>
      </c>
      <c r="B26" s="7" t="s">
        <v>12</v>
      </c>
      <c r="C26" s="27" t="s">
        <v>13</v>
      </c>
      <c r="D26" s="11">
        <v>47.75</v>
      </c>
      <c r="E26" s="11">
        <v>19.5</v>
      </c>
      <c r="F26" s="28" t="s">
        <v>60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4"/>
      <c r="S26" s="5"/>
      <c r="U26" s="4"/>
      <c r="V26" s="4"/>
    </row>
    <row r="27" spans="1:44" ht="15" thickBot="1" x14ac:dyDescent="0.4">
      <c r="A27" s="4"/>
      <c r="B27" s="8"/>
      <c r="C27" s="27" t="s">
        <v>14</v>
      </c>
      <c r="D27" s="11">
        <v>120</v>
      </c>
      <c r="E27" s="11">
        <v>65</v>
      </c>
      <c r="F27" s="25">
        <v>188</v>
      </c>
      <c r="G27" s="3">
        <v>8.1</v>
      </c>
      <c r="H27" s="5"/>
      <c r="I27" s="3"/>
      <c r="J27" s="5"/>
      <c r="K27" s="3">
        <v>0.06</v>
      </c>
      <c r="L27" s="5"/>
      <c r="M27" s="3">
        <v>0.3</v>
      </c>
      <c r="N27" s="5"/>
      <c r="O27" s="3">
        <v>0.02</v>
      </c>
      <c r="P27" s="5"/>
      <c r="Q27" s="3"/>
      <c r="R27" s="4"/>
      <c r="S27" s="3"/>
      <c r="U27" s="4"/>
      <c r="V27" s="4"/>
    </row>
    <row r="28" spans="1:44" x14ac:dyDescent="0.35">
      <c r="A28" s="4"/>
      <c r="B28" s="4"/>
      <c r="C28" s="4"/>
      <c r="D28" s="4"/>
      <c r="E28" s="4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U28" s="4"/>
      <c r="V28" s="4"/>
      <c r="AC28" t="str">
        <f>A33</f>
        <v>PIC</v>
      </c>
      <c r="AF28" s="14">
        <f>D33</f>
        <v>12</v>
      </c>
      <c r="AG28" s="14">
        <f>D34</f>
        <v>120</v>
      </c>
      <c r="AH28" s="14">
        <f>E33</f>
        <v>12</v>
      </c>
      <c r="AI28" s="14">
        <f>E34</f>
        <v>120</v>
      </c>
      <c r="AJ28" s="22">
        <f>F34</f>
        <v>108</v>
      </c>
      <c r="AK28" s="15">
        <f>G34</f>
        <v>6.65</v>
      </c>
      <c r="AN28" s="15">
        <f>K34</f>
        <v>0.06</v>
      </c>
      <c r="AO28" s="15">
        <f>M34</f>
        <v>0.21</v>
      </c>
      <c r="AP28" s="15">
        <f>O34</f>
        <v>0.02</v>
      </c>
      <c r="AQ28" s="15">
        <f>Q34</f>
        <v>0</v>
      </c>
      <c r="AR28" s="15">
        <f>S34</f>
        <v>0</v>
      </c>
    </row>
    <row r="29" spans="1:44" x14ac:dyDescent="0.35">
      <c r="D29">
        <v>36</v>
      </c>
      <c r="E29">
        <v>60</v>
      </c>
      <c r="F29" s="1">
        <v>495</v>
      </c>
      <c r="G29" s="1">
        <f t="shared" si="9"/>
        <v>5.15625</v>
      </c>
      <c r="J29" s="1">
        <v>556</v>
      </c>
      <c r="K29" s="1">
        <f t="shared" si="3"/>
        <v>2.824074074074074E-2</v>
      </c>
      <c r="L29" s="1">
        <v>460</v>
      </c>
      <c r="M29" s="1">
        <f t="shared" si="10"/>
        <v>0.21296296296296297</v>
      </c>
      <c r="N29" s="1">
        <v>525</v>
      </c>
      <c r="O29" s="1">
        <f t="shared" si="5"/>
        <v>1.3888888888888888E-2</v>
      </c>
      <c r="Q29" s="1">
        <f t="shared" si="5"/>
        <v>-0.22916666666666666</v>
      </c>
      <c r="S29" s="1">
        <f t="shared" ref="S29:S32" si="24">(R29-$F29)/($D29+$E29)</f>
        <v>-5.15625</v>
      </c>
      <c r="U29">
        <v>2.5</v>
      </c>
      <c r="V29">
        <v>3</v>
      </c>
      <c r="AD29">
        <f t="shared" ref="AD29:AE32" si="25">D29</f>
        <v>36</v>
      </c>
      <c r="AE29">
        <f t="shared" si="25"/>
        <v>60</v>
      </c>
      <c r="AK29" s="15">
        <f>G29</f>
        <v>5.15625</v>
      </c>
      <c r="AL29">
        <f t="shared" ref="AL29:AL32" si="26">U29</f>
        <v>2.5</v>
      </c>
      <c r="AM29">
        <f t="shared" ref="AM29:AM32" si="27">V29</f>
        <v>3</v>
      </c>
      <c r="AN29" s="15">
        <f>K29</f>
        <v>2.824074074074074E-2</v>
      </c>
      <c r="AO29" s="15">
        <f>M29</f>
        <v>0.21296296296296297</v>
      </c>
      <c r="AP29" s="15">
        <f>O29</f>
        <v>1.3888888888888888E-2</v>
      </c>
      <c r="AQ29" s="15">
        <f>Q29</f>
        <v>-0.22916666666666666</v>
      </c>
      <c r="AR29" s="15">
        <f>S29</f>
        <v>-5.15625</v>
      </c>
    </row>
    <row r="30" spans="1:44" x14ac:dyDescent="0.35">
      <c r="D30">
        <v>48</v>
      </c>
      <c r="E30">
        <v>60</v>
      </c>
      <c r="F30" s="1">
        <v>723</v>
      </c>
      <c r="G30" s="1">
        <f t="shared" si="9"/>
        <v>6.6944444444444446</v>
      </c>
      <c r="J30" s="1">
        <v>739</v>
      </c>
      <c r="K30" s="1">
        <f t="shared" si="3"/>
        <v>5.5555555555555558E-3</v>
      </c>
      <c r="L30" s="1">
        <v>571</v>
      </c>
      <c r="M30" s="1">
        <f t="shared" si="10"/>
        <v>0.19826388888888888</v>
      </c>
      <c r="N30" s="1">
        <v>772</v>
      </c>
      <c r="O30" s="1">
        <f t="shared" ref="O30:O45" si="28">(N30-$F30)/($D30*$E30)</f>
        <v>1.7013888888888887E-2</v>
      </c>
      <c r="Q30" s="1">
        <f t="shared" ref="Q30:Q32" si="29">(P30-$F30)/($D30*$E30)</f>
        <v>-0.25104166666666666</v>
      </c>
      <c r="S30" s="1">
        <f t="shared" si="24"/>
        <v>-6.6944444444444446</v>
      </c>
      <c r="U30">
        <v>2.5</v>
      </c>
      <c r="V30">
        <v>3</v>
      </c>
      <c r="AD30">
        <f t="shared" si="25"/>
        <v>48</v>
      </c>
      <c r="AE30">
        <f t="shared" si="25"/>
        <v>60</v>
      </c>
      <c r="AK30" s="15">
        <f>G30</f>
        <v>6.6944444444444446</v>
      </c>
      <c r="AL30">
        <f t="shared" si="26"/>
        <v>2.5</v>
      </c>
      <c r="AM30">
        <f t="shared" si="27"/>
        <v>3</v>
      </c>
      <c r="AN30" s="15">
        <f>K30</f>
        <v>5.5555555555555558E-3</v>
      </c>
      <c r="AO30" s="15">
        <f>M30</f>
        <v>0.19826388888888888</v>
      </c>
      <c r="AP30" s="15">
        <f>O30</f>
        <v>1.7013888888888887E-2</v>
      </c>
      <c r="AQ30" s="15">
        <f>Q30</f>
        <v>-0.25104166666666666</v>
      </c>
      <c r="AR30" s="15">
        <f>S30</f>
        <v>-6.6944444444444446</v>
      </c>
    </row>
    <row r="31" spans="1:44" x14ac:dyDescent="0.35">
      <c r="B31" t="s">
        <v>25</v>
      </c>
      <c r="D31">
        <v>60</v>
      </c>
      <c r="E31">
        <v>60</v>
      </c>
      <c r="F31" s="1">
        <v>623</v>
      </c>
      <c r="G31" s="1">
        <f t="shared" si="9"/>
        <v>5.1916666666666664</v>
      </c>
      <c r="K31" s="1">
        <f t="shared" si="3"/>
        <v>-0.17305555555555555</v>
      </c>
      <c r="M31" s="1">
        <f t="shared" si="10"/>
        <v>0</v>
      </c>
      <c r="O31" s="1">
        <f t="shared" si="28"/>
        <v>-0.17305555555555555</v>
      </c>
      <c r="Q31" s="1">
        <f t="shared" si="29"/>
        <v>-0.17305555555555555</v>
      </c>
      <c r="S31" s="1">
        <f t="shared" si="24"/>
        <v>-5.1916666666666664</v>
      </c>
      <c r="U31">
        <v>2.5</v>
      </c>
      <c r="V31">
        <v>3</v>
      </c>
      <c r="AD31">
        <f t="shared" si="25"/>
        <v>60</v>
      </c>
      <c r="AE31">
        <f t="shared" si="25"/>
        <v>60</v>
      </c>
      <c r="AK31" s="15">
        <f>G31</f>
        <v>5.1916666666666664</v>
      </c>
      <c r="AL31">
        <f t="shared" si="26"/>
        <v>2.5</v>
      </c>
      <c r="AM31">
        <f t="shared" si="27"/>
        <v>3</v>
      </c>
      <c r="AN31" s="15">
        <f>K31</f>
        <v>-0.17305555555555555</v>
      </c>
      <c r="AO31" s="15">
        <f>M31</f>
        <v>0</v>
      </c>
      <c r="AP31" s="15">
        <f>O31</f>
        <v>-0.17305555555555555</v>
      </c>
      <c r="AQ31" s="15">
        <f>Q31</f>
        <v>-0.17305555555555555</v>
      </c>
      <c r="AR31" s="15">
        <f>S31</f>
        <v>-5.1916666666666664</v>
      </c>
    </row>
    <row r="32" spans="1:44" ht="15" thickBot="1" x14ac:dyDescent="0.4">
      <c r="B32" t="s">
        <v>22</v>
      </c>
      <c r="D32">
        <v>60</v>
      </c>
      <c r="E32">
        <v>72</v>
      </c>
      <c r="F32" s="1">
        <v>801</v>
      </c>
      <c r="G32" s="1">
        <f t="shared" si="9"/>
        <v>6.0681818181818183</v>
      </c>
      <c r="J32" s="1">
        <v>1098</v>
      </c>
      <c r="K32" s="1">
        <f t="shared" si="3"/>
        <v>6.8750000000000006E-2</v>
      </c>
      <c r="L32" s="1">
        <v>839</v>
      </c>
      <c r="M32" s="1">
        <f t="shared" si="10"/>
        <v>0.19421296296296298</v>
      </c>
      <c r="N32" s="1">
        <v>875</v>
      </c>
      <c r="O32" s="1">
        <f t="shared" si="28"/>
        <v>1.712962962962963E-2</v>
      </c>
      <c r="Q32" s="1">
        <f t="shared" si="29"/>
        <v>-0.18541666666666667</v>
      </c>
      <c r="S32" s="1">
        <f t="shared" si="24"/>
        <v>-6.0681818181818183</v>
      </c>
      <c r="U32">
        <v>2.5</v>
      </c>
      <c r="V32">
        <v>3</v>
      </c>
      <c r="AD32">
        <f t="shared" si="25"/>
        <v>60</v>
      </c>
      <c r="AE32">
        <f t="shared" si="25"/>
        <v>72</v>
      </c>
      <c r="AK32" s="15">
        <f>G32</f>
        <v>6.0681818181818183</v>
      </c>
      <c r="AL32">
        <f t="shared" si="26"/>
        <v>2.5</v>
      </c>
      <c r="AM32">
        <f t="shared" si="27"/>
        <v>3</v>
      </c>
      <c r="AN32" s="15">
        <f>K32</f>
        <v>6.8750000000000006E-2</v>
      </c>
      <c r="AO32" s="15">
        <f>M32</f>
        <v>0.19421296296296298</v>
      </c>
      <c r="AP32" s="15">
        <f>O32</f>
        <v>1.712962962962963E-2</v>
      </c>
      <c r="AQ32" s="15">
        <f>Q32</f>
        <v>-0.18541666666666667</v>
      </c>
      <c r="AR32" s="15">
        <f>S32</f>
        <v>-6.0681818181818183</v>
      </c>
    </row>
    <row r="33" spans="1:44" ht="15" thickBot="1" x14ac:dyDescent="0.4">
      <c r="A33" s="4" t="s">
        <v>18</v>
      </c>
      <c r="B33" s="7" t="s">
        <v>12</v>
      </c>
      <c r="C33" s="27" t="s">
        <v>13</v>
      </c>
      <c r="D33" s="11">
        <v>12</v>
      </c>
      <c r="E33" s="11">
        <v>12</v>
      </c>
      <c r="F33" s="28" t="s">
        <v>60</v>
      </c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4"/>
      <c r="S33" s="5"/>
      <c r="U33" s="4"/>
      <c r="V33" s="4"/>
    </row>
    <row r="34" spans="1:44" ht="15" thickBot="1" x14ac:dyDescent="0.4">
      <c r="A34" s="4"/>
      <c r="B34" s="8"/>
      <c r="C34" s="27" t="s">
        <v>14</v>
      </c>
      <c r="D34" s="11">
        <v>120</v>
      </c>
      <c r="E34" s="11">
        <v>120</v>
      </c>
      <c r="F34" s="25">
        <v>108</v>
      </c>
      <c r="G34" s="3">
        <v>6.65</v>
      </c>
      <c r="H34" s="5"/>
      <c r="I34" s="3"/>
      <c r="J34" s="5"/>
      <c r="K34" s="3">
        <v>0.06</v>
      </c>
      <c r="L34" s="5"/>
      <c r="M34" s="3">
        <v>0.21</v>
      </c>
      <c r="N34" s="5"/>
      <c r="O34" s="3">
        <v>0.02</v>
      </c>
      <c r="P34" s="5"/>
      <c r="Q34" s="3"/>
      <c r="R34" s="4"/>
      <c r="S34" s="3"/>
      <c r="U34" s="4"/>
      <c r="V34" s="4"/>
    </row>
    <row r="35" spans="1:44" x14ac:dyDescent="0.35">
      <c r="A35" s="4"/>
      <c r="B35" s="4"/>
      <c r="C35" s="4"/>
      <c r="D35" s="4"/>
      <c r="E35" s="4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4"/>
      <c r="S35" s="5"/>
      <c r="U35" s="4"/>
      <c r="V35" s="4"/>
      <c r="AC35" t="str">
        <f>A40</f>
        <v>CASE</v>
      </c>
      <c r="AF35" s="14">
        <f>D40</f>
        <v>15.75</v>
      </c>
      <c r="AG35" s="14">
        <f>D41</f>
        <v>37</v>
      </c>
      <c r="AH35" s="14">
        <f>E40</f>
        <v>22.5</v>
      </c>
      <c r="AI35" s="14">
        <f>E41</f>
        <v>72</v>
      </c>
      <c r="AJ35" s="22">
        <f>F41</f>
        <v>108</v>
      </c>
      <c r="AK35" s="15">
        <f>G41</f>
        <v>7.45</v>
      </c>
      <c r="AN35" s="15">
        <f>K41</f>
        <v>0.06</v>
      </c>
      <c r="AO35" s="15">
        <f>M41</f>
        <v>0.46</v>
      </c>
      <c r="AP35" s="15">
        <f>O41</f>
        <v>0.01</v>
      </c>
      <c r="AQ35" s="15">
        <f>Q41</f>
        <v>0</v>
      </c>
      <c r="AR35" s="15">
        <f>S41</f>
        <v>0</v>
      </c>
    </row>
    <row r="36" spans="1:44" x14ac:dyDescent="0.35">
      <c r="D36">
        <v>24</v>
      </c>
      <c r="E36">
        <v>48</v>
      </c>
      <c r="F36" s="1">
        <v>537</v>
      </c>
      <c r="G36" s="1">
        <f t="shared" si="9"/>
        <v>7.458333333333333</v>
      </c>
      <c r="J36" s="1">
        <v>575</v>
      </c>
      <c r="K36" s="1">
        <f t="shared" si="3"/>
        <v>3.2986111111111112E-2</v>
      </c>
      <c r="L36" s="1">
        <v>525</v>
      </c>
      <c r="M36" s="1">
        <f t="shared" si="10"/>
        <v>0.45572916666666669</v>
      </c>
      <c r="N36" s="1">
        <v>553</v>
      </c>
      <c r="O36" s="1">
        <f t="shared" si="28"/>
        <v>1.3888888888888888E-2</v>
      </c>
      <c r="Q36" s="1">
        <f t="shared" ref="Q36:Q39" si="30">(P36-$F36)/($D36*$E36)</f>
        <v>-0.46614583333333331</v>
      </c>
      <c r="S36" s="1">
        <f t="shared" ref="S36:S39" si="31">(R36-$F36)/($D36+$E36)</f>
        <v>-7.458333333333333</v>
      </c>
      <c r="U36">
        <v>2.5</v>
      </c>
      <c r="V36">
        <v>3</v>
      </c>
      <c r="AD36">
        <f t="shared" ref="AD36:AE39" si="32">D36</f>
        <v>24</v>
      </c>
      <c r="AE36">
        <f t="shared" si="32"/>
        <v>48</v>
      </c>
      <c r="AK36" s="15">
        <f>G36</f>
        <v>7.458333333333333</v>
      </c>
      <c r="AL36">
        <f t="shared" ref="AL36:AL39" si="33">U36</f>
        <v>2.5</v>
      </c>
      <c r="AM36">
        <f t="shared" ref="AM36:AM39" si="34">V36</f>
        <v>3</v>
      </c>
      <c r="AN36" s="15">
        <f>K36</f>
        <v>3.2986111111111112E-2</v>
      </c>
      <c r="AO36" s="15">
        <f>M36</f>
        <v>0.45572916666666669</v>
      </c>
      <c r="AP36" s="15">
        <f>O36</f>
        <v>1.3888888888888888E-2</v>
      </c>
      <c r="AQ36" s="15">
        <f>Q36</f>
        <v>-0.46614583333333331</v>
      </c>
      <c r="AR36" s="15">
        <f>S36</f>
        <v>-7.458333333333333</v>
      </c>
    </row>
    <row r="37" spans="1:44" x14ac:dyDescent="0.35">
      <c r="D37">
        <v>36</v>
      </c>
      <c r="E37">
        <v>48</v>
      </c>
      <c r="F37" s="1">
        <v>613</v>
      </c>
      <c r="G37" s="1">
        <f t="shared" si="9"/>
        <v>7.2976190476190474</v>
      </c>
      <c r="J37" s="1">
        <v>681</v>
      </c>
      <c r="K37" s="1">
        <f t="shared" si="3"/>
        <v>3.9351851851851853E-2</v>
      </c>
      <c r="L37" s="1">
        <v>585</v>
      </c>
      <c r="M37" s="1">
        <f t="shared" si="10"/>
        <v>0.33854166666666669</v>
      </c>
      <c r="N37" s="1">
        <v>638</v>
      </c>
      <c r="O37" s="1">
        <f t="shared" si="28"/>
        <v>1.4467592592592593E-2</v>
      </c>
      <c r="Q37" s="1">
        <f t="shared" si="30"/>
        <v>-0.35474537037037035</v>
      </c>
      <c r="S37" s="1">
        <f t="shared" si="31"/>
        <v>-7.2976190476190474</v>
      </c>
      <c r="U37">
        <v>2.5</v>
      </c>
      <c r="V37">
        <v>3</v>
      </c>
      <c r="AD37">
        <f t="shared" si="32"/>
        <v>36</v>
      </c>
      <c r="AE37">
        <f t="shared" si="32"/>
        <v>48</v>
      </c>
      <c r="AK37" s="15">
        <f>G37</f>
        <v>7.2976190476190474</v>
      </c>
      <c r="AL37">
        <f t="shared" si="33"/>
        <v>2.5</v>
      </c>
      <c r="AM37">
        <f t="shared" si="34"/>
        <v>3</v>
      </c>
      <c r="AN37" s="15">
        <f>K37</f>
        <v>3.9351851851851853E-2</v>
      </c>
      <c r="AO37" s="15">
        <f>M37</f>
        <v>0.33854166666666669</v>
      </c>
      <c r="AP37" s="15">
        <f>O37</f>
        <v>1.4467592592592593E-2</v>
      </c>
      <c r="AQ37" s="15">
        <f>Q37</f>
        <v>-0.35474537037037035</v>
      </c>
      <c r="AR37" s="15">
        <f>S37</f>
        <v>-7.2976190476190474</v>
      </c>
    </row>
    <row r="38" spans="1:44" x14ac:dyDescent="0.35">
      <c r="B38" t="s">
        <v>22</v>
      </c>
      <c r="D38">
        <v>36</v>
      </c>
      <c r="E38">
        <v>60</v>
      </c>
      <c r="F38" s="1">
        <v>615</v>
      </c>
      <c r="G38" s="1">
        <f t="shared" si="9"/>
        <v>6.40625</v>
      </c>
      <c r="J38" s="1">
        <v>734</v>
      </c>
      <c r="K38" s="1">
        <f t="shared" si="3"/>
        <v>5.5092592592592596E-2</v>
      </c>
      <c r="L38" s="1">
        <v>638</v>
      </c>
      <c r="M38" s="1">
        <f t="shared" si="10"/>
        <v>0.29537037037037039</v>
      </c>
      <c r="N38" s="1">
        <v>640</v>
      </c>
      <c r="O38" s="1">
        <f t="shared" si="28"/>
        <v>1.1574074074074073E-2</v>
      </c>
      <c r="Q38" s="1">
        <f t="shared" si="30"/>
        <v>-0.28472222222222221</v>
      </c>
      <c r="S38" s="1">
        <f t="shared" si="31"/>
        <v>-6.40625</v>
      </c>
      <c r="U38">
        <v>2.5</v>
      </c>
      <c r="V38">
        <v>3</v>
      </c>
      <c r="AD38">
        <f t="shared" si="32"/>
        <v>36</v>
      </c>
      <c r="AE38">
        <f t="shared" si="32"/>
        <v>60</v>
      </c>
      <c r="AK38" s="15">
        <f>G38</f>
        <v>6.40625</v>
      </c>
      <c r="AL38">
        <f t="shared" si="33"/>
        <v>2.5</v>
      </c>
      <c r="AM38">
        <f t="shared" si="34"/>
        <v>3</v>
      </c>
      <c r="AN38" s="15">
        <f>K38</f>
        <v>5.5092592592592596E-2</v>
      </c>
      <c r="AO38" s="15">
        <f>M38</f>
        <v>0.29537037037037039</v>
      </c>
      <c r="AP38" s="15">
        <f>O38</f>
        <v>1.1574074074074073E-2</v>
      </c>
      <c r="AQ38" s="15">
        <f>Q38</f>
        <v>-0.28472222222222221</v>
      </c>
      <c r="AR38" s="15">
        <f>S38</f>
        <v>-6.40625</v>
      </c>
    </row>
    <row r="39" spans="1:44" ht="15" thickBot="1" x14ac:dyDescent="0.4">
      <c r="B39" t="s">
        <v>22</v>
      </c>
      <c r="D39">
        <v>36</v>
      </c>
      <c r="E39">
        <v>65</v>
      </c>
      <c r="F39" s="1">
        <v>615</v>
      </c>
      <c r="G39" s="1">
        <f t="shared" si="9"/>
        <v>6.0891089108910892</v>
      </c>
      <c r="J39" s="1">
        <v>734</v>
      </c>
      <c r="K39" s="1">
        <f t="shared" si="3"/>
        <v>5.0854700854700854E-2</v>
      </c>
      <c r="L39" s="1">
        <v>638</v>
      </c>
      <c r="M39" s="1">
        <f t="shared" si="10"/>
        <v>0.27264957264957262</v>
      </c>
      <c r="N39" s="1">
        <v>640</v>
      </c>
      <c r="O39" s="1">
        <f t="shared" si="28"/>
        <v>1.0683760683760684E-2</v>
      </c>
      <c r="Q39" s="1">
        <f t="shared" si="30"/>
        <v>-0.26282051282051283</v>
      </c>
      <c r="S39" s="1">
        <f t="shared" si="31"/>
        <v>-6.0891089108910892</v>
      </c>
      <c r="U39">
        <v>2.5</v>
      </c>
      <c r="V39">
        <v>3</v>
      </c>
      <c r="AD39">
        <f t="shared" si="32"/>
        <v>36</v>
      </c>
      <c r="AE39">
        <f t="shared" si="32"/>
        <v>65</v>
      </c>
      <c r="AK39" s="15">
        <f>G39</f>
        <v>6.0891089108910892</v>
      </c>
      <c r="AL39">
        <f t="shared" si="33"/>
        <v>2.5</v>
      </c>
      <c r="AM39">
        <f t="shared" si="34"/>
        <v>3</v>
      </c>
      <c r="AN39" s="15">
        <f>K39</f>
        <v>5.0854700854700854E-2</v>
      </c>
      <c r="AO39" s="15">
        <f>M39</f>
        <v>0.27264957264957262</v>
      </c>
      <c r="AP39" s="15">
        <f>O39</f>
        <v>1.0683760683760684E-2</v>
      </c>
      <c r="AQ39" s="15">
        <f>Q39</f>
        <v>-0.26282051282051283</v>
      </c>
      <c r="AR39" s="15">
        <f>S39</f>
        <v>-6.0891089108910892</v>
      </c>
    </row>
    <row r="40" spans="1:44" ht="15" thickBot="1" x14ac:dyDescent="0.4">
      <c r="A40" s="4" t="s">
        <v>19</v>
      </c>
      <c r="B40" s="7" t="s">
        <v>12</v>
      </c>
      <c r="C40" s="27" t="s">
        <v>13</v>
      </c>
      <c r="D40" s="11">
        <v>15.75</v>
      </c>
      <c r="E40" s="11">
        <v>22.5</v>
      </c>
      <c r="F40" s="28" t="s">
        <v>60</v>
      </c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4"/>
      <c r="S40" s="5"/>
      <c r="U40" s="4"/>
      <c r="V40" s="4"/>
    </row>
    <row r="41" spans="1:44" ht="15" thickBot="1" x14ac:dyDescent="0.4">
      <c r="A41" s="4"/>
      <c r="B41" s="8"/>
      <c r="C41" s="27" t="s">
        <v>14</v>
      </c>
      <c r="D41" s="11">
        <v>37</v>
      </c>
      <c r="E41" s="11">
        <v>72</v>
      </c>
      <c r="F41" s="25">
        <v>108</v>
      </c>
      <c r="G41" s="3">
        <v>7.45</v>
      </c>
      <c r="H41" s="5"/>
      <c r="I41" s="3"/>
      <c r="J41" s="5"/>
      <c r="K41" s="3">
        <v>0.06</v>
      </c>
      <c r="L41" s="5"/>
      <c r="M41" s="3">
        <v>0.46</v>
      </c>
      <c r="N41" s="5"/>
      <c r="O41" s="3">
        <v>0.01</v>
      </c>
      <c r="P41" s="5"/>
      <c r="Q41" s="3"/>
      <c r="R41" s="4"/>
      <c r="S41" s="3"/>
      <c r="U41" s="4"/>
      <c r="V41" s="4"/>
    </row>
    <row r="42" spans="1:44" x14ac:dyDescent="0.35">
      <c r="A42" s="4"/>
      <c r="B42" s="4"/>
      <c r="C42" s="4"/>
      <c r="D42" s="4"/>
      <c r="E42" s="4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4"/>
      <c r="S42" s="5"/>
      <c r="U42" s="4"/>
      <c r="V42" s="4"/>
      <c r="AC42" t="str">
        <f>A46</f>
        <v>TWIN CASE</v>
      </c>
      <c r="AF42" s="14">
        <f>D46</f>
        <v>31.5</v>
      </c>
      <c r="AG42" s="14">
        <f>D47</f>
        <v>74</v>
      </c>
      <c r="AH42" s="14">
        <f>E46</f>
        <v>22.5</v>
      </c>
      <c r="AI42" s="14">
        <f>E47</f>
        <v>72</v>
      </c>
      <c r="AJ42" s="22">
        <f>F47</f>
        <v>120</v>
      </c>
      <c r="AK42" s="15">
        <f>G47</f>
        <v>12.25</v>
      </c>
      <c r="AN42" s="15">
        <f>K47</f>
        <v>0.04</v>
      </c>
      <c r="AO42" s="15">
        <f>M47</f>
        <v>0.57999999999999996</v>
      </c>
      <c r="AP42" s="15">
        <f>O47</f>
        <v>0.02</v>
      </c>
      <c r="AQ42" s="15">
        <f>Q47</f>
        <v>0</v>
      </c>
      <c r="AR42" s="15">
        <f>S47</f>
        <v>0</v>
      </c>
    </row>
    <row r="43" spans="1:44" x14ac:dyDescent="0.35">
      <c r="D43">
        <v>48</v>
      </c>
      <c r="E43">
        <v>36</v>
      </c>
      <c r="F43" s="1">
        <v>1029</v>
      </c>
      <c r="G43" s="1">
        <f t="shared" si="9"/>
        <v>12.25</v>
      </c>
      <c r="J43" s="1">
        <v>1098</v>
      </c>
      <c r="K43" s="1">
        <f t="shared" si="3"/>
        <v>3.9930555555555552E-2</v>
      </c>
      <c r="L43" s="1">
        <v>999</v>
      </c>
      <c r="M43" s="1">
        <f t="shared" si="10"/>
        <v>0.578125</v>
      </c>
      <c r="N43" s="1">
        <v>1061</v>
      </c>
      <c r="O43" s="1">
        <f t="shared" si="28"/>
        <v>1.8518518518518517E-2</v>
      </c>
      <c r="Q43" s="1">
        <f t="shared" ref="Q43:Q45" si="35">(P43-$F43)/($D43*$E43)</f>
        <v>-0.59548611111111116</v>
      </c>
      <c r="S43" s="1">
        <f t="shared" ref="S43:S45" si="36">(R43-$F43)/($D43+$E43)</f>
        <v>-12.25</v>
      </c>
      <c r="U43">
        <v>2.5</v>
      </c>
      <c r="V43">
        <v>3</v>
      </c>
      <c r="AD43">
        <f t="shared" ref="AD43:AE45" si="37">D43</f>
        <v>48</v>
      </c>
      <c r="AE43">
        <f t="shared" si="37"/>
        <v>36</v>
      </c>
      <c r="AK43" s="15">
        <f>G43</f>
        <v>12.25</v>
      </c>
      <c r="AL43">
        <f t="shared" ref="AL43:AL45" si="38">U43</f>
        <v>2.5</v>
      </c>
      <c r="AM43">
        <f t="shared" ref="AM43:AM45" si="39">V43</f>
        <v>3</v>
      </c>
      <c r="AN43" s="15">
        <f>K43</f>
        <v>3.9930555555555552E-2</v>
      </c>
      <c r="AO43" s="15">
        <f>M43</f>
        <v>0.578125</v>
      </c>
      <c r="AP43" s="15">
        <f>O43</f>
        <v>1.8518518518518517E-2</v>
      </c>
      <c r="AQ43" s="15">
        <f>Q43</f>
        <v>-0.59548611111111116</v>
      </c>
      <c r="AR43" s="15">
        <f>S43</f>
        <v>-12.25</v>
      </c>
    </row>
    <row r="44" spans="1:44" x14ac:dyDescent="0.35">
      <c r="D44">
        <v>48</v>
      </c>
      <c r="E44">
        <v>48</v>
      </c>
      <c r="F44" s="1">
        <v>1122</v>
      </c>
      <c r="G44" s="1">
        <f t="shared" si="9"/>
        <v>11.6875</v>
      </c>
      <c r="J44" s="1">
        <v>1192</v>
      </c>
      <c r="K44" s="1">
        <f t="shared" si="3"/>
        <v>3.0381944444444444E-2</v>
      </c>
      <c r="L44" s="1">
        <v>1111</v>
      </c>
      <c r="M44" s="1">
        <f t="shared" si="10"/>
        <v>0.4822048611111111</v>
      </c>
      <c r="N44" s="1">
        <v>1172</v>
      </c>
      <c r="O44" s="1">
        <f t="shared" si="28"/>
        <v>2.1701388888888888E-2</v>
      </c>
      <c r="Q44" s="1">
        <f t="shared" si="35"/>
        <v>-0.48697916666666669</v>
      </c>
      <c r="S44" s="1">
        <f t="shared" si="36"/>
        <v>-11.6875</v>
      </c>
      <c r="U44">
        <v>2.5</v>
      </c>
      <c r="V44">
        <v>3</v>
      </c>
      <c r="AD44">
        <f t="shared" si="37"/>
        <v>48</v>
      </c>
      <c r="AE44">
        <f t="shared" si="37"/>
        <v>48</v>
      </c>
      <c r="AK44" s="15">
        <f t="shared" ref="AK44:AK45" si="40">G44</f>
        <v>11.6875</v>
      </c>
      <c r="AL44">
        <f t="shared" si="38"/>
        <v>2.5</v>
      </c>
      <c r="AM44">
        <f t="shared" si="39"/>
        <v>3</v>
      </c>
      <c r="AN44" s="15">
        <f t="shared" ref="AN44:AN45" si="41">K44</f>
        <v>3.0381944444444444E-2</v>
      </c>
      <c r="AO44" s="15">
        <f t="shared" ref="AO44:AO45" si="42">M44</f>
        <v>0.4822048611111111</v>
      </c>
      <c r="AP44" s="15">
        <f t="shared" ref="AP44:AP45" si="43">O44</f>
        <v>2.1701388888888888E-2</v>
      </c>
      <c r="AQ44" s="15">
        <f t="shared" ref="AQ44:AQ45" si="44">Q44</f>
        <v>-0.48697916666666669</v>
      </c>
      <c r="AR44" s="15">
        <f t="shared" ref="AR44:AR45" si="45">S44</f>
        <v>-11.6875</v>
      </c>
    </row>
    <row r="45" spans="1:44" ht="15" thickBot="1" x14ac:dyDescent="0.4">
      <c r="D45">
        <v>60</v>
      </c>
      <c r="E45">
        <v>48</v>
      </c>
      <c r="F45" s="1">
        <v>1221</v>
      </c>
      <c r="G45" s="1">
        <f t="shared" si="9"/>
        <v>11.305555555555555</v>
      </c>
      <c r="J45" s="1">
        <v>1291</v>
      </c>
      <c r="K45" s="1">
        <f t="shared" si="3"/>
        <v>2.4305555555555556E-2</v>
      </c>
      <c r="L45" s="1">
        <v>1210</v>
      </c>
      <c r="M45" s="1">
        <f t="shared" si="10"/>
        <v>0.4201388888888889</v>
      </c>
      <c r="N45" s="1">
        <v>1271</v>
      </c>
      <c r="O45" s="1">
        <f t="shared" si="28"/>
        <v>1.7361111111111112E-2</v>
      </c>
      <c r="Q45" s="1">
        <f t="shared" si="35"/>
        <v>-0.42395833333333333</v>
      </c>
      <c r="S45" s="1">
        <f t="shared" si="36"/>
        <v>-11.305555555555555</v>
      </c>
      <c r="U45">
        <v>2.5</v>
      </c>
      <c r="V45">
        <v>3</v>
      </c>
      <c r="AD45">
        <f t="shared" si="37"/>
        <v>60</v>
      </c>
      <c r="AE45">
        <f t="shared" si="37"/>
        <v>48</v>
      </c>
      <c r="AK45" s="15">
        <f t="shared" si="40"/>
        <v>11.305555555555555</v>
      </c>
      <c r="AL45">
        <f t="shared" si="38"/>
        <v>2.5</v>
      </c>
      <c r="AM45">
        <f t="shared" si="39"/>
        <v>3</v>
      </c>
      <c r="AN45" s="15">
        <f t="shared" si="41"/>
        <v>2.4305555555555556E-2</v>
      </c>
      <c r="AO45" s="15">
        <f t="shared" si="42"/>
        <v>0.4201388888888889</v>
      </c>
      <c r="AP45" s="15">
        <f t="shared" si="43"/>
        <v>1.7361111111111112E-2</v>
      </c>
      <c r="AQ45" s="15">
        <f t="shared" si="44"/>
        <v>-0.42395833333333333</v>
      </c>
      <c r="AR45" s="15">
        <f t="shared" si="45"/>
        <v>-11.305555555555555</v>
      </c>
    </row>
    <row r="46" spans="1:44" ht="15" thickBot="1" x14ac:dyDescent="0.4">
      <c r="A46" s="4" t="s">
        <v>20</v>
      </c>
      <c r="B46" s="7" t="s">
        <v>12</v>
      </c>
      <c r="C46" s="27" t="s">
        <v>13</v>
      </c>
      <c r="D46" s="11">
        <v>31.5</v>
      </c>
      <c r="E46" s="11">
        <v>22.5</v>
      </c>
      <c r="F46" s="28" t="s">
        <v>60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4"/>
      <c r="S46" s="5"/>
      <c r="U46" s="4"/>
      <c r="V46" s="4"/>
    </row>
    <row r="47" spans="1:44" ht="15" thickBot="1" x14ac:dyDescent="0.4">
      <c r="A47" s="4"/>
      <c r="B47" s="8"/>
      <c r="C47" s="27" t="s">
        <v>14</v>
      </c>
      <c r="D47" s="11">
        <v>74</v>
      </c>
      <c r="E47" s="11">
        <v>72</v>
      </c>
      <c r="F47" s="25">
        <v>120</v>
      </c>
      <c r="G47" s="3">
        <v>12.25</v>
      </c>
      <c r="H47" s="5"/>
      <c r="I47" s="3"/>
      <c r="J47" s="5"/>
      <c r="K47" s="3">
        <v>0.04</v>
      </c>
      <c r="L47" s="5"/>
      <c r="M47" s="3">
        <v>0.57999999999999996</v>
      </c>
      <c r="N47" s="5"/>
      <c r="O47" s="3">
        <v>0.02</v>
      </c>
      <c r="P47" s="5"/>
      <c r="Q47" s="3"/>
      <c r="R47" s="4"/>
      <c r="S47" s="3"/>
      <c r="U47" s="4"/>
      <c r="V47" s="4"/>
    </row>
    <row r="48" spans="1:44" x14ac:dyDescent="0.35">
      <c r="A48" s="4"/>
      <c r="B48" s="4"/>
      <c r="C48" s="4"/>
      <c r="D48" s="4"/>
      <c r="E48" s="4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4"/>
      <c r="S48" s="5"/>
      <c r="U48" s="4"/>
      <c r="V48" s="4"/>
    </row>
  </sheetData>
  <mergeCells count="23">
    <mergeCell ref="G1:G4"/>
    <mergeCell ref="D3:D4"/>
    <mergeCell ref="E3:E4"/>
    <mergeCell ref="H1:H2"/>
    <mergeCell ref="P1:P4"/>
    <mergeCell ref="N1:N4"/>
    <mergeCell ref="L1:L4"/>
    <mergeCell ref="J1:J4"/>
    <mergeCell ref="I1:I4"/>
    <mergeCell ref="F1:F4"/>
    <mergeCell ref="A1:A4"/>
    <mergeCell ref="B1:B4"/>
    <mergeCell ref="C1:C4"/>
    <mergeCell ref="D1:D2"/>
    <mergeCell ref="E1:E2"/>
    <mergeCell ref="U1:U4"/>
    <mergeCell ref="V1:V4"/>
    <mergeCell ref="O1:O4"/>
    <mergeCell ref="Q1:Q4"/>
    <mergeCell ref="K1:K4"/>
    <mergeCell ref="M1:M4"/>
    <mergeCell ref="S1:S4"/>
    <mergeCell ref="R1:R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07E99-687F-43E0-B9AC-F39772A71753}">
  <sheetPr codeName="Sheet5"/>
  <dimension ref="A1:A2"/>
  <sheetViews>
    <sheetView workbookViewId="0">
      <selection activeCell="N11" sqref="N11"/>
    </sheetView>
  </sheetViews>
  <sheetFormatPr defaultRowHeight="14.5" x14ac:dyDescent="0.35"/>
  <sheetData>
    <row r="1" spans="1:1" x14ac:dyDescent="0.35">
      <c r="A1" t="s">
        <v>48</v>
      </c>
    </row>
    <row r="2" spans="1:1" x14ac:dyDescent="0.35">
      <c r="A2" t="s">
        <v>47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DE31FA98FC0914FAC64676AFD073C6D" ma:contentTypeVersion="15" ma:contentTypeDescription="Create a new document." ma:contentTypeScope="" ma:versionID="3d7be5218e2339ac24ed0b2179413969">
  <xsd:schema xmlns:xsd="http://www.w3.org/2001/XMLSchema" xmlns:xs="http://www.w3.org/2001/XMLSchema" xmlns:p="http://schemas.microsoft.com/office/2006/metadata/properties" xmlns:ns2="e071b727-ac56-4a93-9ed5-ceff46d0439e" xmlns:ns3="d3ee5abd-a5ad-414a-bda2-f9db4211ae68" targetNamespace="http://schemas.microsoft.com/office/2006/metadata/properties" ma:root="true" ma:fieldsID="80e801a2b989b3a92a609ca97c3f7799" ns2:_="" ns3:_="">
    <xsd:import namespace="e071b727-ac56-4a93-9ed5-ceff46d0439e"/>
    <xsd:import namespace="d3ee5abd-a5ad-414a-bda2-f9db4211ae6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71b727-ac56-4a93-9ed5-ceff46d043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235dfeb5-f6b4-4e75-a83b-d5cf857ad0a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ee5abd-a5ad-414a-bda2-f9db4211ae68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adef7377-5502-4756-b3f6-cc765a7f63be}" ma:internalName="TaxCatchAll" ma:showField="CatchAllData" ma:web="d3ee5abd-a5ad-414a-bda2-f9db4211ae6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071b727-ac56-4a93-9ed5-ceff46d0439e">
      <Terms xmlns="http://schemas.microsoft.com/office/infopath/2007/PartnerControls"/>
    </lcf76f155ced4ddcb4097134ff3c332f>
    <TaxCatchAll xmlns="d3ee5abd-a5ad-414a-bda2-f9db4211ae68" xsi:nil="true"/>
  </documentManagement>
</p:properties>
</file>

<file path=customXml/itemProps1.xml><?xml version="1.0" encoding="utf-8"?>
<ds:datastoreItem xmlns:ds="http://schemas.openxmlformats.org/officeDocument/2006/customXml" ds:itemID="{BADBB23E-F2A9-4D67-88A5-0EB774BB383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6362AB-9482-4A93-BC87-79492419C998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8ABA56B-35F8-467C-9F18-1006224DAA97}"/>
</file>

<file path=customXml/itemProps4.xml><?xml version="1.0" encoding="utf-8"?>
<ds:datastoreItem xmlns:ds="http://schemas.openxmlformats.org/officeDocument/2006/customXml" ds:itemID="{6C7E0C98-6717-4E44-933D-40F354DDE350}">
  <ds:schemaRefs>
    <ds:schemaRef ds:uri="http://schemas.microsoft.com/office/infopath/2007/PartnerControls"/>
    <ds:schemaRef ds:uri="d3ee5abd-a5ad-414a-bda2-f9db4211ae68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  <ds:schemaRef ds:uri="http://schemas.openxmlformats.org/package/2006/metadata/core-properties"/>
    <ds:schemaRef ds:uri="d7729f29-7954-4d3a-b73b-b5a978696a8b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INFO</vt:lpstr>
      <vt:lpstr>BASE</vt:lpstr>
      <vt:lpstr>GOOD</vt:lpstr>
      <vt:lpstr>BETTER</vt:lpstr>
      <vt:lpstr>BEST</vt:lpstr>
      <vt:lpstr>ADMIN</vt:lpstr>
      <vt:lpstr>PKeyPath</vt:lpstr>
      <vt:lpstr>PKeyPathOld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 Vogel</dc:creator>
  <cp:keywords/>
  <dc:description/>
  <cp:lastModifiedBy>Christian Vogel</cp:lastModifiedBy>
  <cp:revision/>
  <dcterms:created xsi:type="dcterms:W3CDTF">2021-09-13T20:07:02Z</dcterms:created>
  <dcterms:modified xsi:type="dcterms:W3CDTF">2022-02-02T17:35:58Z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0x0101006DE31FA98FC0914FAC64676AFD073C6D</vt:lpwstr>
  </property>
</Properties>
</file>